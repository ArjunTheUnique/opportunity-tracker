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2"/>
    <sheet name="Pathways" sheetId="2" state="visible" r:id="rId3"/>
  </sheets>
  <definedNames>
    <definedName function="false" hidden="true" localSheetId="1" name="_xlnm._FilterDatabase" vbProcedure="false">Pathways!$A$1:$M$115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<sst xmlns="http://schemas.openxmlformats.org/spreadsheetml/2006/main" count="1412" uniqueCount="1096">
  <si>
    <t xml:space="preserve">Study Pathways - What To Do Next</t>
  </si>
  <si>
    <t xml:space="preserve">For every education level (after Class 10, Intermediate, ITI, Diploma, any Degree, B.Tech, Law, Medicine and PG) - the courses and programmes you can pursue next, with entrance exams, eligibility, AP-specific routes and career outcomes. India-wide with Andhra Pradesh emphasis.</t>
  </si>
  <si>
    <t xml:space="preserve">Compiled 28 September 2026</t>
  </si>
  <si>
    <t xml:space="preserve">How to use</t>
  </si>
  <si>
    <t xml:space="preserve">The Pathways sheet is one row per course/programme. Use the After (Education Level) column filter to pick where you are today - the colour coding distinguishes the nine levels at a glance.</t>
  </si>
  <si>
    <t xml:space="preserve">Entrance Exam(s) and Typical Exam Timing columns give the exam name, conducting body and the usual application/exam months in the annual cycle (drawn from 2025-26 notifications).</t>
  </si>
  <si>
    <t xml:space="preserve">AP-Specific Notes column covers the AP route for the same course - which CET (AP EAPCET, POLYCET, ECET, ICET, LAWCET, PGCET, EdCET, APNCET...), which counselling portal (OAMDC/DOST), and key AP institutions.</t>
  </si>
  <si>
    <t xml:space="preserve">Durations, eligibility rules and exam names change occasionally - verify on the Official Website column before committing. This is an information compilation, not career advice; consider talking to a career counsellor for personal decisions.</t>
  </si>
  <si>
    <t xml:space="preserve">Pathways by starting level</t>
  </si>
  <si>
    <t xml:space="preserve">After (level)</t>
  </si>
  <si>
    <t xml:space="preserve">Courses listed</t>
  </si>
  <si>
    <t xml:space="preserve">Count</t>
  </si>
  <si>
    <t xml:space="preserve">After Class 10 (SSC)</t>
  </si>
  <si>
    <t xml:space="preserve">Intermediate streams, Polytechnic (POLYCET), ITI, RGUKT 6-year integrated B.Tech, paramedical, open schooling</t>
  </si>
  <si>
    <t xml:space="preserve">After Intermediate (Class 12)</t>
  </si>
  <si>
    <t xml:space="preserve">B.Tech (EAPCET/JEE), MBBS (NEET), B.Pharm, B.Sc Agriculture, Nursing, BA LLB, B.Arch, BBA/BCA, CA, NDA, hotel management, design</t>
  </si>
  <si>
    <t xml:space="preserve">After ITI</t>
  </si>
  <si>
    <t xml:space="preserve">Apprenticeships (NATS/NAPS), advanced trades, lateral diploma entry, direct employment</t>
  </si>
  <si>
    <t xml:space="preserve">After Diploma (Polytechnic)</t>
  </si>
  <si>
    <t xml:space="preserve">Lateral-entry B.Tech 2nd year (ECET), AIME, B.Sc lateral, employment</t>
  </si>
  <si>
    <t xml:space="preserve">After any Degree (BA/B.Sc/B.Com)</t>
  </si>
  <si>
    <t xml:space="preserve">MBA/MCA (CAT/ICET), MA/M.Sc/M.Com (PGCET), LLB 3-year, B.Ed, UPSC/APPSC routes, PG diplomas, CA/CS, mass communication</t>
  </si>
  <si>
    <t xml:space="preserve">After B.Tech / BE</t>
  </si>
  <si>
    <t xml:space="preserve">M.Tech (GATE/PGCET), MBA, MS abroad, data science/AI certifications, PhD, PSU/ISRO/DRDO routes</t>
  </si>
  <si>
    <t xml:space="preserve">After Law (LLB)</t>
  </si>
  <si>
    <t xml:space="preserve">LLM (CLAT PG/PGLCET), judicial services, LPO/corporate practice, CS, cyber-law</t>
  </si>
  <si>
    <t xml:space="preserve">After Medicine (MBBS/BAMS/BDS)</t>
  </si>
  <si>
    <t xml:space="preserve">MD/MS (NEET PG), DNB, DM/MCh (NEET SS), MPH, hospital management, USMLE/PLAB</t>
  </si>
  <si>
    <t xml:space="preserve">After PG / Masters</t>
  </si>
  <si>
    <t xml:space="preserve">PhD (CSIR-UGC NET, APRCET), postdoc fellowships, UGC-NET assistant professor, executive programmes</t>
  </si>
  <si>
    <t xml:space="preserve">Total pathways</t>
  </si>
  <si>
    <t xml:space="preserve">S.No</t>
  </si>
  <si>
    <t xml:space="preserve">After (Education Level)</t>
  </si>
  <si>
    <t xml:space="preserve">Course / Programme</t>
  </si>
  <si>
    <t xml:space="preserve">Type</t>
  </si>
  <si>
    <t xml:space="preserve">Domain / Field</t>
  </si>
  <si>
    <t xml:space="preserve">Duration</t>
  </si>
  <si>
    <t xml:space="preserve">Eligibility</t>
  </si>
  <si>
    <t xml:space="preserve">Entrance Exam(s)</t>
  </si>
  <si>
    <t xml:space="preserve">Typical Exam Timing</t>
  </si>
  <si>
    <t xml:space="preserve">AP-Specific Notes</t>
  </si>
  <si>
    <t xml:space="preserve">Career Outcomes</t>
  </si>
  <si>
    <t xml:space="preserve">Official Website</t>
  </si>
  <si>
    <t xml:space="preserve">Notes</t>
  </si>
  <si>
    <t xml:space="preserve">Agniveer Soldier General Duty (Army) and Navy MR entry</t>
  </si>
  <si>
    <t xml:space="preserve">Defence Enlistment</t>
  </si>
  <si>
    <t xml:space="preserve">Defence</t>
  </si>
  <si>
    <t xml:space="preserve">4 years</t>
  </si>
  <si>
    <t xml:space="preserve">Army GD needs Class 10 with about 45 percent aggregate and 33 percent per subject; Navy MR needs Class 10; age roughly 17.5-21 per notification</t>
  </si>
  <si>
    <t xml:space="preserve">Agniveer common entrance exam plus rally, physical and medical tests</t>
  </si>
  <si>
    <t xml:space="preserve">Rally and exam notifications roughly twice a year; track official portals</t>
  </si>
  <si>
    <t xml:space="preserve">AP candidates attend rallies under army recruiting offices such as Guntur, Visakhapatnam and Tirupati</t>
  </si>
  <si>
    <t xml:space="preserve">Four years engaged service with Seva Nidhi corpus; up to 25 percent retained in the regular cadre; thereafter police, security and private careers</t>
  </si>
  <si>
    <t xml:space="preserve">joinindianarmy.nic.in</t>
  </si>
  <si>
    <t xml:space="preserve">ITI and open-school candidates holding Class 10 can also apply</t>
  </si>
  <si>
    <t xml:space="preserve">APOSS Intermediate through Open Schooling</t>
  </si>
  <si>
    <t xml:space="preserve">Board Qualification (Open)</t>
  </si>
  <si>
    <t xml:space="preserve">Arts, Science and Commerce</t>
  </si>
  <si>
    <t xml:space="preserve">2 years (flexible)</t>
  </si>
  <si>
    <t xml:space="preserve">Pass SSC; minimum age 15 as on August 31 of admission year</t>
  </si>
  <si>
    <t xml:space="preserve">No entrance</t>
  </si>
  <si>
    <t xml:space="preserve">Applications June-September; exams in March</t>
  </si>
  <si>
    <t xml:space="preserve">Recognised by COBSE and the Government of India for higher education and employment; study through accredited institutions with Sunday personal contact programmes</t>
  </si>
  <si>
    <t xml:space="preserve">Degree via OAMDC, POLYCET and other 12th-based routes</t>
  </si>
  <si>
    <t xml:space="preserve">apopenschool.ap.gov.in</t>
  </si>
  <si>
    <t xml:space="preserve">Open-school 10+2 passers are not eligible for NEET UG under current NMC rules</t>
  </si>
  <si>
    <t xml:space="preserve">Diploma in Agriculture and allied diplomas (Seed Technology, Organic Farming)</t>
  </si>
  <si>
    <t xml:space="preserve">Diploma</t>
  </si>
  <si>
    <t xml:space="preserve">Agriculture</t>
  </si>
  <si>
    <t xml:space="preserve">2-3 years</t>
  </si>
  <si>
    <t xml:space="preserve">Pass SSC with science; selection generally on SSC merit as per ANGRAU notification</t>
  </si>
  <si>
    <t xml:space="preserve">No CET; ANGRAU diploma admission notification</t>
  </si>
  <si>
    <t xml:space="preserve">Notification typically June-August; check angrau.ac.in</t>
  </si>
  <si>
    <t xml:space="preserve">Offered at ANGRAU constituent and affiliated agricultural polytechnics across AP</t>
  </si>
  <si>
    <t xml:space="preserve">Agriculture extension and agri-input sector jobs; lateral entry into B.Sc (Hons) Agriculture via AGRICET</t>
  </si>
  <si>
    <t xml:space="preserve">angrau.ac.in</t>
  </si>
  <si>
    <t xml:space="preserve">AGRICET is restricted to ANGRAU diploma holders</t>
  </si>
  <si>
    <t xml:space="preserve">Intermediate BiPC (Biology, Physics, Chemistry)</t>
  </si>
  <si>
    <t xml:space="preserve">Board Qualification</t>
  </si>
  <si>
    <t xml:space="preserve">Science</t>
  </si>
  <si>
    <t xml:space="preserve">2 years</t>
  </si>
  <si>
    <t xml:space="preserve">Pass SSC or equivalent</t>
  </si>
  <si>
    <t xml:space="preserve">No entrance; direct admission</t>
  </si>
  <si>
    <t xml:space="preserve">Admissions June-July; BIEAP exams March-April</t>
  </si>
  <si>
    <t xml:space="preserve">Gateway to medical and allied science admissions across AP</t>
  </si>
  <si>
    <t xml:space="preserve">MBBS, BDS, BAMS, B.Sc Agriculture, nursing, pharmacy, allied health</t>
  </si>
  <si>
    <t xml:space="preserve">bie.ap.gov.in</t>
  </si>
  <si>
    <t xml:space="preserve">Open-school 10+2 is not accepted for NEET, so medical aspirants should stay in the regular stream</t>
  </si>
  <si>
    <t xml:space="preserve">Intermediate CEC (Commerce, Economics, Civics)</t>
  </si>
  <si>
    <t xml:space="preserve">Commerce and Social Science</t>
  </si>
  <si>
    <t xml:space="preserve">Admissions June-July</t>
  </si>
  <si>
    <t xml:space="preserve">Common stream in AP and Telangana junior colleges</t>
  </si>
  <si>
    <t xml:space="preserve">B.Com, BBA, 5-year LLB, civil services preparation, banking</t>
  </si>
  <si>
    <t xml:space="preserve">MEC and CEC both lead to commerce degrees; MEC keeps maths open for quantitative careers</t>
  </si>
  <si>
    <t xml:space="preserve">Intermediate HEC (History, Economics, Civics)</t>
  </si>
  <si>
    <t xml:space="preserve">Humanities and Social Science</t>
  </si>
  <si>
    <t xml:space="preserve">Humanities stream in AP junior colleges</t>
  </si>
  <si>
    <t xml:space="preserve">BA, law, journalism, teaching, APPSC and UPSC civil services</t>
  </si>
  <si>
    <t xml:space="preserve">English-medium sections are preferable for competitive exams</t>
  </si>
  <si>
    <t xml:space="preserve">Intermediate MEC (Maths, Economics, Commerce)</t>
  </si>
  <si>
    <t xml:space="preserve">Commerce and Economics</t>
  </si>
  <si>
    <t xml:space="preserve">Popular commerce-leaning stream in AP junior colleges</t>
  </si>
  <si>
    <t xml:space="preserve">CA, CMA, CS, B.Com, BBA, economics and finance careers</t>
  </si>
  <si>
    <t xml:space="preserve">Strong fit for students targeting professional accountancy</t>
  </si>
  <si>
    <t xml:space="preserve">Intermediate MPC (Maths, Physics, Chemistry)</t>
  </si>
  <si>
    <t xml:space="preserve">Pass SSC or equivalent from a recognised board</t>
  </si>
  <si>
    <t xml:space="preserve">No entrance; direct admission to junior colleges</t>
  </si>
  <si>
    <t xml:space="preserve">Admissions June-July after SSC results; BIEAP exams March-April</t>
  </si>
  <si>
    <t xml:space="preserve">Standard gateway stream in BIEAP junior colleges; fee reimbursement via Jagananna Vidya Deevena for eligible students</t>
  </si>
  <si>
    <t xml:space="preserve">B.Tech, B.Sc, B.Arch, statistics, NDA, CA and degree routes</t>
  </si>
  <si>
    <t xml:space="preserve">MPC with computer science variants is offered by many colleges</t>
  </si>
  <si>
    <t xml:space="preserve">Intermediate Vocational stream (BIEAP)</t>
  </si>
  <si>
    <t xml:space="preserve">Vocational Qualification</t>
  </si>
  <si>
    <t xml:space="preserve">Multi-sector vocational</t>
  </si>
  <si>
    <t xml:space="preserve">Pass SSC</t>
  </si>
  <si>
    <t xml:space="preserve">No entrance; direct admission to vocational junior colleges</t>
  </si>
  <si>
    <t xml:space="preserve">Job-linked groups such as engineering technology, paramedical, agriculture and commerce under BIEAP</t>
  </si>
  <si>
    <t xml:space="preserve">Technician-level employment; lateral entry into 2nd year polytechnic diploma via SBTET bridge course; degree via OAMDC</t>
  </si>
  <si>
    <t xml:space="preserve">Students must pass the SBTET bridge course in maths, physics and chemistry for diploma lateral entry</t>
  </si>
  <si>
    <t xml:space="preserve">ITI Craftsmen Training (NCVT and SCVT trades)</t>
  </si>
  <si>
    <t xml:space="preserve">Certification</t>
  </si>
  <si>
    <t xml:space="preserve">Engineering and service trades</t>
  </si>
  <si>
    <t xml:space="preserve">1-2 years depending on trade</t>
  </si>
  <si>
    <t xml:space="preserve">Class 10 pass (some trades accept Class 8); minimum age 14</t>
  </si>
  <si>
    <t xml:space="preserve">No exam; merit-based counselling on qualifying exam marks</t>
  </si>
  <si>
    <t xml:space="preserve">Registration April-May with Phase 2 till mid-July; counselling June-July; session from August</t>
  </si>
  <si>
    <t xml:space="preserve">Apply at iti.ap.gov.in; fee about Rs 250 general and Rs 150 reserved; popular trades Electrician, Fitter, Mechanic Diesel, COPA, Electronics Mechanic; NCVT certificates are valid across India</t>
  </si>
  <si>
    <t xml:space="preserve">Trade apprenticeship under NAPS; RRB ALP and technician jobs; lateral entry into diploma 2nd year; self-employment</t>
  </si>
  <si>
    <t xml:space="preserve">iti.ap.gov.in</t>
  </si>
  <si>
    <t xml:space="preserve">About 84 government and around 400 private ITIs operate in AP</t>
  </si>
  <si>
    <t xml:space="preserve">NIOS Senior Secondary (Class 12 through open schooling)</t>
  </si>
  <si>
    <t xml:space="preserve">Choice-based subjects</t>
  </si>
  <si>
    <t xml:space="preserve">2 years (flexible completion window)</t>
  </si>
  <si>
    <t xml:space="preserve">Pass Secondary or equivalent; no minimum percentage</t>
  </si>
  <si>
    <t xml:space="preserve">No entrance; continuous admission streams</t>
  </si>
  <si>
    <t xml:space="preserve">Admissions in blocks through the year; public exams April-May and October-November</t>
  </si>
  <si>
    <t xml:space="preserve">Nationwide study centres; suits students who cannot attend regular college</t>
  </si>
  <si>
    <t xml:space="preserve">Degree courses, POLYCET, BBA and BCA and most 12th-based admissions (NEET excluded for open-school candidates)</t>
  </si>
  <si>
    <t xml:space="preserve">nios.ac.in</t>
  </si>
  <si>
    <t xml:space="preserve">On-demand examination facility available for some subjects</t>
  </si>
  <si>
    <t xml:space="preserve">Polytechnic Diploma in Engineering or Non-Engineering</t>
  </si>
  <si>
    <t xml:space="preserve">Engineering and Technology</t>
  </si>
  <si>
    <t xml:space="preserve">3 years</t>
  </si>
  <si>
    <t xml:space="preserve">Pass SSC or equivalent (CBSE, ICSE, NIOS, APOSS accepted) with mathematics</t>
  </si>
  <si>
    <t xml:space="preserve">AP POLYCET conducted by SBTET AP</t>
  </si>
  <si>
    <t xml:space="preserve">Applications March-April; exam around end April or early May (2025: April 30); web counselling June-July</t>
  </si>
  <si>
    <t xml:space="preserve">Apply at polycetap.nic.in; fee Rs 400 for OC-BC and Rs 100 for SC-ST; 120 questions from Class 10 maths, physics and chemistry with no negative marking; tuition about Rs 4,700 per year in government and aided polytechnics and about Rs 25,000 in private; certificate verification at help line centres, special categories at Government Polytechnic Vijayawada</t>
  </si>
  <si>
    <t xml:space="preserve">AP ECET lateral entry to B.Tech; junior engineer jobs; AMIE; PSU technician posts</t>
  </si>
  <si>
    <t xml:space="preserve">polycetap.nic.in</t>
  </si>
  <si>
    <t xml:space="preserve">Covers government, aided, private polytechnics and second-shift diploma sections in engineering colleges</t>
  </si>
  <si>
    <t xml:space="preserve">Short-term skill training under PMKVY</t>
  </si>
  <si>
    <t xml:space="preserve">Multi-sector skilling</t>
  </si>
  <si>
    <t xml:space="preserve">2-12 months</t>
  </si>
  <si>
    <t xml:space="preserve">Varies by job role; many courses need Class 8 or Class 10</t>
  </si>
  <si>
    <t xml:space="preserve">No entrance; enrol at accredited training centres</t>
  </si>
  <si>
    <t xml:space="preserve">Rolling batches through the year</t>
  </si>
  <si>
    <t xml:space="preserve">Register at pmkvyofficial.org with Aadhaar; NSQF-aligned training, assessment and certification</t>
  </si>
  <si>
    <t xml:space="preserve">Retail, logistics, IT-ITeS, healthcare, beauty, construction and other entry roles; also self-employment</t>
  </si>
  <si>
    <t xml:space="preserve">pmkvyofficial.org</t>
  </si>
  <si>
    <t xml:space="preserve">Useful add-on alongside Intermediate or after Class 10</t>
  </si>
  <si>
    <t xml:space="preserve">Six-Year Integrated B.Tech at RGUKT (2-year PUC plus 4-year B.Tech)</t>
  </si>
  <si>
    <t xml:space="preserve">Integrated</t>
  </si>
  <si>
    <t xml:space="preserve">Engineering</t>
  </si>
  <si>
    <t xml:space="preserve">6 years</t>
  </si>
  <si>
    <t xml:space="preserve">Passed SSC of the admission year in first attempt (advanced supplementary candidates also considered); studied in AP; age not above 18 (21 for SC-ST)</t>
  </si>
  <si>
    <t xml:space="preserve">No CET; selection on SSC marks with a 4 percent deprivation score added for government school students</t>
  </si>
  <si>
    <t xml:space="preserve">Notification April-May; online applications in May; selection list June; classes from August</t>
  </si>
  <si>
    <t xml:space="preserve">Fully residential campuses at Nuzvid, Srikakulam (Etcherla), Ongole and RK Valley (Idupulapaya) with about 1,000-1,100 seats each plus EWS supernumerary; apply at rgukt.in or AP Online and MeeSeva centres; free tuition for fee-reimbursement eligible students; exit option after the 2-year PUC</t>
  </si>
  <si>
    <t xml:space="preserve">B.Tech in CSE, ECE, EEE, Civil, Mechanical, Chemical or Metallurgy with campus placements and MS or M.Tech routes</t>
  </si>
  <si>
    <t xml:space="preserve">rgukt.in</t>
  </si>
  <si>
    <t xml:space="preserve">The flagship AP route for rural merit students; no campus transfers are allowed after allotment</t>
  </si>
  <si>
    <t xml:space="preserve">B.A LL.B (5-year integrated law)</t>
  </si>
  <si>
    <t xml:space="preserve">Integrated Professional Degree</t>
  </si>
  <si>
    <t xml:space="preserve">Law</t>
  </si>
  <si>
    <t xml:space="preserve">5 years</t>
  </si>
  <si>
    <t xml:space="preserve">Intermediate or equivalent with 45 percent aggregate (42 percent BC, 40 percent SC-ST)</t>
  </si>
  <si>
    <t xml:space="preserve">AP LAWCET (5-year paper) conducted by Sri Padmavati Mahila Visvavidyalayam for APSCHE; CLAT for national law universities</t>
  </si>
  <si>
    <t xml:space="preserve">LAWCET applications March-April with exam around May; CLAT applications August-November with exam in December</t>
  </si>
  <si>
    <t xml:space="preserve">Apply at cets.apsche.ap.gov.in/LAWCET; qualifying score is 35 percent (42 of 120 marks); exam offered in English and Telugu</t>
  </si>
  <si>
    <t xml:space="preserve">Advocate, judicial services, corporate legal, litigation and advisory</t>
  </si>
  <si>
    <t xml:space="preserve">cets.apsche.ap.gov.in/LAWCET</t>
  </si>
  <si>
    <t xml:space="preserve">Single-sitting or open-school qualifying backgrounds are not eligible</t>
  </si>
  <si>
    <t xml:space="preserve">B.Arch</t>
  </si>
  <si>
    <t xml:space="preserve">Professional Degree</t>
  </si>
  <si>
    <t xml:space="preserve">Architecture</t>
  </si>
  <si>
    <t xml:space="preserve">10+2 with Physics and Mathematics plus Chemistry, Biology or a vocational subject with at least 45 percent aggregate (40 percent reserved); 10+3 diploma with mathematics also accepted</t>
  </si>
  <si>
    <t xml:space="preserve">NATA conducted by the Council of Architecture; JEE Main Paper 2 by NTA</t>
  </si>
  <si>
    <t xml:space="preserve">NATA sessions on designated Saturdays across the admission cycle; JEE Main sessions January and April</t>
  </si>
  <si>
    <t xml:space="preserve">School of Planning and Architecture Vijayawada and COA-recognised colleges such as Andhra University admit via these scores</t>
  </si>
  <si>
    <t xml:space="preserve">Architect after COA registration, M.Arch, urban design, practice or public sector posts</t>
  </si>
  <si>
    <t xml:space="preserve">coa.gov.in</t>
  </si>
  <si>
    <t xml:space="preserve">Admission requires a valid aptitude test score plus the minimum academic eligibility</t>
  </si>
  <si>
    <t xml:space="preserve">B.Des</t>
  </si>
  <si>
    <t xml:space="preserve">Design</t>
  </si>
  <si>
    <t xml:space="preserve">Pass 10+2 in any stream; upper age below 24 on August 1 with 5-year relaxation for SC-ST-PwD</t>
  </si>
  <si>
    <t xml:space="preserve">NIFT entrance (GAT plus CAT and Situation Test) through NTA; UCEED by IIT Bombay for IIT design seats</t>
  </si>
  <si>
    <t xml:space="preserve">NIFT applications November to early January with exam around February 9; UCEED applications September-November with exam mid-January</t>
  </si>
  <si>
    <t xml:space="preserve">No NIFT campus in AP; nearest is NIFT Hyderabad; IIT Hyderabad offers B.Des via UCEED</t>
  </si>
  <si>
    <t xml:space="preserve">Fashion, product, communication and UX design careers; M.Des</t>
  </si>
  <si>
    <t xml:space="preserve">nift.ac.in</t>
  </si>
  <si>
    <t xml:space="preserve">UCEED also opens design seats at several other participating institutes</t>
  </si>
  <si>
    <t xml:space="preserve">B.Pharm</t>
  </si>
  <si>
    <t xml:space="preserve">Degree</t>
  </si>
  <si>
    <t xml:space="preserve">Pharmacy</t>
  </si>
  <si>
    <t xml:space="preserve">Intermediate with Physics, Chemistry and Mathematics or Biology</t>
  </si>
  <si>
    <t xml:space="preserve">AP EAPCET (Agriculture and Pharmacy stream)</t>
  </si>
  <si>
    <t xml:space="preserve">EAPCET applications March-April; pharmacy paper in May (2025: May 19-20)</t>
  </si>
  <si>
    <t xml:space="preserve">Counselling through APSCHE; AP has a strong base of pharmacy colleges</t>
  </si>
  <si>
    <t xml:space="preserve">Community or hospital pharmacist, drug inspector, pharma industry, M.Pharm via GPAT</t>
  </si>
  <si>
    <t xml:space="preserve">cets.apsche.ap.gov.in/EAPCET</t>
  </si>
  <si>
    <t xml:space="preserve">Pharm.D is a parallel 6-year option through the same exam</t>
  </si>
  <si>
    <t xml:space="preserve">B.Sc (Hons) Agriculture</t>
  </si>
  <si>
    <t xml:space="preserve">Intermediate BiPC for agriculture; MPC students can enter B.Tech Agricultural Engineering and Food Technology</t>
  </si>
  <si>
    <t xml:space="preserve">AP EAPCET (Agriculture stream) with counselling by ANGRAU</t>
  </si>
  <si>
    <t xml:space="preserve">EAPCET in May; ANGRAU counselling registration July-September</t>
  </si>
  <si>
    <t xml:space="preserve">40 percent farmers quota with Form-I land certificate and Form-II rural study certificate; colleges include Agricultural College Bapatla, SV Agricultural College Tirupati and Agricultural College Mahanandi</t>
  </si>
  <si>
    <t xml:space="preserve">Agriculture officer, bank field officer, agri-business, ICAR JRF, state agriculture department jobs</t>
  </si>
  <si>
    <t xml:space="preserve">Agriculture diploma holders enter via AGRICET lateral entry</t>
  </si>
  <si>
    <t xml:space="preserve">B.Sc Hospitality and Hotel Administration</t>
  </si>
  <si>
    <t xml:space="preserve">Hospitality and Tourism</t>
  </si>
  <si>
    <t xml:space="preserve">10+2 with English as a subject</t>
  </si>
  <si>
    <t xml:space="preserve">NCHM JEE conducted by NTA for NCHM and CT institutes</t>
  </si>
  <si>
    <t xml:space="preserve">Applications December-February; exam late April (2025: April 27)</t>
  </si>
  <si>
    <t xml:space="preserve">IHM Tirupati is the government institute in AP; IHM Hyderabad is nearby; many private colleges accept NCHM JEE scores</t>
  </si>
  <si>
    <t xml:space="preserve">Hotel operations, airlines and cruise lines, catering, MBA in hospitality, entrepreneurship</t>
  </si>
  <si>
    <t xml:space="preserve">exams.nta.ac.in/NCHM</t>
  </si>
  <si>
    <t xml:space="preserve">The degree is offered by NCHM affiliated institutes</t>
  </si>
  <si>
    <t xml:space="preserve">B.Sc Nursing (4-year degree course)</t>
  </si>
  <si>
    <t xml:space="preserve">Nursing</t>
  </si>
  <si>
    <t xml:space="preserve">Intermediate BiPC with English; 45 percent in science subjects for OC and 40 percent for BC-SC-ST; age 17 by December 31; medically fit</t>
  </si>
  <si>
    <t xml:space="preserve">APNCET conducted by Dr NTR UHS (from 2025; earlier via AP EAPCET BiPC ranks)</t>
  </si>
  <si>
    <t xml:space="preserve">APNCET applications May-July with the exam around June-July; counselling August-September</t>
  </si>
  <si>
    <t xml:space="preserve">Apply via drntr.uhsap.in; government nursing college seats and category-A seats in private colleges under Dr NTR UHS; both men and women are eligible</t>
  </si>
  <si>
    <t xml:space="preserve">Staff nurse in India and abroad, NCLEX and OET routes, M.Sc Nursing, nurse educator</t>
  </si>
  <si>
    <t xml:space="preserve">drntr.uhsap.in</t>
  </si>
  <si>
    <t xml:space="preserve">Allied health courses such as BPT are also admitted by Dr NTR UHS on Intermediate science merit</t>
  </si>
  <si>
    <t xml:space="preserve">B.Tech or B.E.</t>
  </si>
  <si>
    <t xml:space="preserve">Pass Intermediate MPC or equivalent with PCM; aggregate norms vary by institution</t>
  </si>
  <si>
    <t xml:space="preserve">AP EAPCET (Engineering) conducted by JNTUK for APSCHE; JEE Main by NTA for NITs, IIITs and CFTIs</t>
  </si>
  <si>
    <t xml:space="preserve">EAPCET applications March-April with exam in May (2025: May 21-27); JEE Main sessions January and April</t>
  </si>
  <si>
    <t xml:space="preserve">Apply at cets.apsche.ap.gov.in/EAPCET; counselling through APSCHE web options; colleges include Andhra University College of Engineering Visakhapatnam, JNTUK Kakinada, SVUCE Tirupati, JNTUA Anantapur and hundreds of private colleges</t>
  </si>
  <si>
    <t xml:space="preserve">Software, core engineering, GATE and M.Tech, civil services, campus placements</t>
  </si>
  <si>
    <t xml:space="preserve">EAPCET rank is also used for B.Tech seats in AP private universities</t>
  </si>
  <si>
    <t xml:space="preserve">BAMS</t>
  </si>
  <si>
    <t xml:space="preserve">Ayurveda</t>
  </si>
  <si>
    <t xml:space="preserve">5.5 years including compulsory rotating internship</t>
  </si>
  <si>
    <t xml:space="preserve">Intermediate BiPC with PCB and NEET qualification</t>
  </si>
  <si>
    <t xml:space="preserve">NEET UG conducted by NTA</t>
  </si>
  <si>
    <t xml:space="preserve">Same NEET schedule; AYUSH counselling follows</t>
  </si>
  <si>
    <t xml:space="preserve">AP AYUSH UG admissions through Dr NTR UHS affiliated government and private ayurvedic colleges</t>
  </si>
  <si>
    <t xml:space="preserve">Ayurvedic physician, MD Ayurveda via AIAPGET, own practice</t>
  </si>
  <si>
    <t xml:space="preserve">ntaneet.nic.in</t>
  </si>
  <si>
    <t xml:space="preserve">BHMS (Homoeopathy) follows the same route</t>
  </si>
  <si>
    <t xml:space="preserve">BDS</t>
  </si>
  <si>
    <t xml:space="preserve">Dentistry</t>
  </si>
  <si>
    <t xml:space="preserve">5 years including 1-year internship</t>
  </si>
  <si>
    <t xml:space="preserve">Intermediate BiPC with PCB percentage norms as per NEET</t>
  </si>
  <si>
    <t xml:space="preserve">Same NEET schedule; AP counselling by Dr NTR UHS</t>
  </si>
  <si>
    <t xml:space="preserve">Government and private dental colleges in AP are affiliated to Dr NTR UHS</t>
  </si>
  <si>
    <t xml:space="preserve">Dental surgeon, MDS, own clinic, government dental posts</t>
  </si>
  <si>
    <t xml:space="preserve">BDS seats are filled through the same state counselling process</t>
  </si>
  <si>
    <t xml:space="preserve">CA Foundation (Chartered Accountancy entry)</t>
  </si>
  <si>
    <t xml:space="preserve">Professional Qualification</t>
  </si>
  <si>
    <t xml:space="preserve">Accountancy and Finance</t>
  </si>
  <si>
    <t xml:space="preserve">About 4 months study period before each exam window</t>
  </si>
  <si>
    <t xml:space="preserve">Register after Class 10; eligible to appear after appearing in the Class 12 examination; graduates get direct entry to Intermediate</t>
  </si>
  <si>
    <t xml:space="preserve">CA Foundation examination by ICAI</t>
  </si>
  <si>
    <t xml:space="preserve">Exams thrice a year in January, May and September; register four months ahead (for example by May 1 for the September exam)</t>
  </si>
  <si>
    <t xml:space="preserve">Register on the ICAI Self Service Portal; can be pursued alongside B.Com through AP colleges or self-study</t>
  </si>
  <si>
    <t xml:space="preserve">Chartered Accountant after Intermediate, articleship and Final; audit, tax and finance careers</t>
  </si>
  <si>
    <t xml:space="preserve">icai.org</t>
  </si>
  <si>
    <t xml:space="preserve">Passing needs 40 percent per paper and 50 percent aggregate</t>
  </si>
  <si>
    <t xml:space="preserve">General UG degree (B.A, B.Sc, B.Com with honours such as Statistics and Commerce, BBA, BCA, B.Voc, BFA, 5-year integrated PG)</t>
  </si>
  <si>
    <t xml:space="preserve">Arts, Science, Commerce, Computing and Management</t>
  </si>
  <si>
    <t xml:space="preserve">3 years (5 years for integrated PG)</t>
  </si>
  <si>
    <t xml:space="preserve">Pass Intermediate from BIEAP or a recognised board; subject norms per course</t>
  </si>
  <si>
    <t xml:space="preserve">No CET; OAMDC web counselling on Intermediate merit</t>
  </si>
  <si>
    <t xml:space="preserve">Registration typically July-September after results; phases through September-October (2025 registration opened August 20)</t>
  </si>
  <si>
    <t xml:space="preserve">Register at oamdc-apsche.aptonline.in; convener quota seats across government and private degree colleges; engineering and pharmacy excluded; DOST is the parallel portal in Telangana</t>
  </si>
  <si>
    <t xml:space="preserve">Banking, SSC and APPSC exams, IT and BPO, teaching after B.Ed, CA or M.Com, M.Sc and research</t>
  </si>
  <si>
    <t xml:space="preserve">oamdc-apsche.aptonline.in</t>
  </si>
  <si>
    <t xml:space="preserve">Honours and integrated PG options are listed in the OAMDC course-college combination list</t>
  </si>
  <si>
    <t xml:space="preserve">MBBS</t>
  </si>
  <si>
    <t xml:space="preserve">Medicine</t>
  </si>
  <si>
    <t xml:space="preserve">5.5 years including 1-year rotating internship</t>
  </si>
  <si>
    <t xml:space="preserve">Intermediate BiPC with about 50 percent in PCB (40 percent for reserved categories); age 17 by December 31</t>
  </si>
  <si>
    <t xml:space="preserve">NEET UG conducted by NTA (mandatory for all medical colleges including AIIMS and JIPMER)</t>
  </si>
  <si>
    <t xml:space="preserve">NEET applications February-March; exam usually the first Sunday of May; AP counselling by Dr NTR UHS July-September</t>
  </si>
  <si>
    <t xml:space="preserve">85 percent state quota counselled by Dr NTR UHS through its UG admissions portal; key colleges include Andhra Medical College Visakhapatnam, SV Medical College Tirupati, Guntur Medical College and Kurnool Medical College</t>
  </si>
  <si>
    <t xml:space="preserve">Doctor, then MD or MS via NEET PG, UPSC CMS, or practice</t>
  </si>
  <si>
    <t xml:space="preserve">The 15 percent All India quota and central institutes are also filled via NEET counselling</t>
  </si>
  <si>
    <t xml:space="preserve">National Defence Academy (Army, Navy and Air Force wings)</t>
  </si>
  <si>
    <t xml:space="preserve">Defence Commission Training</t>
  </si>
  <si>
    <t xml:space="preserve">3 years NDA training plus pre-commission training</t>
  </si>
  <si>
    <t xml:space="preserve">12th pass; Army wing accepts any group, Air Force and Navy need PCM; unmarried; age 16.5-19.5</t>
  </si>
  <si>
    <t xml:space="preserve">NDA and NA examination by UPSC plus SSB interview and medicals</t>
  </si>
  <si>
    <t xml:space="preserve">NDA I notification December with exam in April; NDA II notification May with exam in September</t>
  </si>
  <si>
    <t xml:space="preserve">Apply at upsconline.nic.in; women candidates are eligible; 11th class students cannot apply</t>
  </si>
  <si>
    <t xml:space="preserve">Commissioned officer in the armed forces with a university degree earned during training</t>
  </si>
  <si>
    <t xml:space="preserve">upsc.gov.in</t>
  </si>
  <si>
    <t xml:space="preserve">Air Force and Naval Academy candidates can also try the 10+2 cadet entry scheme</t>
  </si>
  <si>
    <t xml:space="preserve">Pharm.D (Doctor of Pharmacy)</t>
  </si>
  <si>
    <t xml:space="preserve">Clinical Pharmacy</t>
  </si>
  <si>
    <t xml:space="preserve">6 years (5 years plus 1-year internship)</t>
  </si>
  <si>
    <t xml:space="preserve">Intermediate with PCM or PCB</t>
  </si>
  <si>
    <t xml:space="preserve">AP EAPCET (Pharmacy stream)</t>
  </si>
  <si>
    <t xml:space="preserve">Same as the EAPCET pharmacy schedule</t>
  </si>
  <si>
    <t xml:space="preserve">Offered by pharmacy colleges in AP under APSCHE counselling</t>
  </si>
  <si>
    <t xml:space="preserve">Clinical and hospital pharmacy, pharmacovigilance, NAPLEX for the USA</t>
  </si>
  <si>
    <t xml:space="preserve">Programme is regulated by the Pharmacy Council of India</t>
  </si>
  <si>
    <t xml:space="preserve">Act Apprenticeship in Railway divisions</t>
  </si>
  <si>
    <t xml:space="preserve">Apprenticeship Certification</t>
  </si>
  <si>
    <t xml:space="preserve">Railways</t>
  </si>
  <si>
    <t xml:space="preserve">1 year (varies by trade)</t>
  </si>
  <si>
    <t xml:space="preserve">Matric plus ITI in a relevant trade as per the division notification</t>
  </si>
  <si>
    <t xml:space="preserve">Merit on ITI marks by the Railway Recruitment Cell</t>
  </si>
  <si>
    <t xml:space="preserve">Notifications released periodically by divisions; watch the zonal RRC pages</t>
  </si>
  <si>
    <t xml:space="preserve">South Central Railway and neighbouring zones notify Act Apprentice intakes with trade-wise vacancies</t>
  </si>
  <si>
    <t xml:space="preserve">Apprentice certificate plus stipend; strengthens later railway recruitment prospects</t>
  </si>
  <si>
    <t xml:space="preserve">indianrailways.gov.in</t>
  </si>
  <si>
    <t xml:space="preserve">Ex-Act Apprentices receive consideration in some railway recruitments</t>
  </si>
  <si>
    <t xml:space="preserve">Advanced skill modules at Advanced Training Institutes (AVTS) and PMKVY upskilling</t>
  </si>
  <si>
    <t xml:space="preserve">Advanced manufacturing and servicing</t>
  </si>
  <si>
    <t xml:space="preserve">A few weeks to 6 months</t>
  </si>
  <si>
    <t xml:space="preserve">ITI or NTC holders</t>
  </si>
  <si>
    <t xml:space="preserve">Direct enrolment at the training institute</t>
  </si>
  <si>
    <t xml:space="preserve">Batches run through the year as per institute calendars</t>
  </si>
  <si>
    <t xml:space="preserve">DGT-run ATIs offer CNC, industrial automation and mechatronics type modules; check dgt.gov.in for institute lists</t>
  </si>
  <si>
    <t xml:space="preserve">CNC operator, automation technician, quality inspector</t>
  </si>
  <si>
    <t xml:space="preserve">dgt.gov.in</t>
  </si>
  <si>
    <t xml:space="preserve">Short modules stack well with work experience</t>
  </si>
  <si>
    <t xml:space="preserve">Agniveer Soldier General Duty (Army) and Navy MR</t>
  </si>
  <si>
    <t xml:space="preserve">Army GD needs Class 10 with about 45 percent aggregate and 33 percent per subject; Navy MR needs Class 10; age roughly 17.5-21</t>
  </si>
  <si>
    <t xml:space="preserve">Notifications roughly twice a year</t>
  </si>
  <si>
    <t xml:space="preserve">AP rallies run under army recruiting offices such as Guntur, Visakhapatnam and Tirupati</t>
  </si>
  <si>
    <t xml:space="preserve">Four years service with Seva Nidhi; up to 25 percent retention; then security and private sector roles</t>
  </si>
  <si>
    <t xml:space="preserve">Technical sailor entries may ask for higher qualifications</t>
  </si>
  <si>
    <t xml:space="preserve">Assistant Loco Pilot and Technician recruitment in Railways</t>
  </si>
  <si>
    <t xml:space="preserve">Employment (Government)</t>
  </si>
  <si>
    <t xml:space="preserve">Not a course; recruitment process</t>
  </si>
  <si>
    <t xml:space="preserve">Matric plus ITI in a relevant trade (or diploma in engineering)</t>
  </si>
  <si>
    <t xml:space="preserve">RRB computer-based tests plus aptitude test for ALP</t>
  </si>
  <si>
    <t xml:space="preserve">Notifications periodic, not fixed annually; track rrbcdg.gov.in</t>
  </si>
  <si>
    <t xml:space="preserve">Centralised recruitment through Railway Recruitment Boards with trade-wise mapping</t>
  </si>
  <si>
    <t xml:space="preserve">Loco pilot or technician career in Indian Railways</t>
  </si>
  <si>
    <t xml:space="preserve">rrbcdg.gov.in</t>
  </si>
  <si>
    <t xml:space="preserve">Railway medical fitness standards apply</t>
  </si>
  <si>
    <t xml:space="preserve">Craft Instructor Training (CITS) at CTIs</t>
  </si>
  <si>
    <t xml:space="preserve">Certification (Instructor)</t>
  </si>
  <si>
    <t xml:space="preserve">Technical teacher training</t>
  </si>
  <si>
    <t xml:space="preserve">1 year</t>
  </si>
  <si>
    <t xml:space="preserve">NTC or NAC in the relevant trade (diploma and degree holders also eligible)</t>
  </si>
  <si>
    <t xml:space="preserve">Centralised CITS admission through DGT</t>
  </si>
  <si>
    <t xml:space="preserve">Admission windows roughly May-August per DGT notification</t>
  </si>
  <si>
    <t xml:space="preserve">National Craft Instructor Training Certificate is the credential sought for ITI instructor recruitment</t>
  </si>
  <si>
    <t xml:space="preserve">ITI instructor, vocational trainer in industry and CSR programmes</t>
  </si>
  <si>
    <t xml:space="preserve">Instructor posts also consider diploma and degree holders</t>
  </si>
  <si>
    <t xml:space="preserve">Direct private-sector technician employment</t>
  </si>
  <si>
    <t xml:space="preserve">Employment</t>
  </si>
  <si>
    <t xml:space="preserve">Industry and services</t>
  </si>
  <si>
    <t xml:space="preserve">Not applicable</t>
  </si>
  <si>
    <t xml:space="preserve">ITI with NCVT certificate</t>
  </si>
  <si>
    <t xml:space="preserve">Interviews and trade tests by employers</t>
  </si>
  <si>
    <t xml:space="preserve">ITI placement drives cluster around course completion</t>
  </si>
  <si>
    <t xml:space="preserve">ITI placement cells, district employment exchanges and the Skill India Digital hub list vacancies</t>
  </si>
  <si>
    <t xml:space="preserve">Technician, electrician, fitter, welder and service technician roles; supervisor level with experience</t>
  </si>
  <si>
    <t xml:space="preserve">skillindiadigital.gov.in</t>
  </si>
  <si>
    <t xml:space="preserve">Combining work with NAPS apprenticeship improves pay bands</t>
  </si>
  <si>
    <t xml:space="preserve">Lateral Entry into 2nd year Polytechnic Diploma</t>
  </si>
  <si>
    <t xml:space="preserve">Engineering and Non-Engineering</t>
  </si>
  <si>
    <t xml:space="preserve">2 years from 2nd year</t>
  </si>
  <si>
    <t xml:space="preserve">ITI pass with 60 percent in the relevant trade plus the SBTET bridge course in maths, physics and chemistry</t>
  </si>
  <si>
    <t xml:space="preserve">No separate CET; admission via DTE and SBTET AP lateral entry notification</t>
  </si>
  <si>
    <t xml:space="preserve">Notifications around May-June subject to vacancies</t>
  </si>
  <si>
    <t xml:space="preserve">Limited to 10 percent of sanctioned intake; apply via SBTET and DTE AP portals; ITI holders may otherwise appear for AP POLYCET for 1st-year entry</t>
  </si>
  <si>
    <t xml:space="preserve">Diploma, then AP ECET lateral B.Tech, junior engineer roles</t>
  </si>
  <si>
    <t xml:space="preserve">apsbtet.ap.gov.in</t>
  </si>
  <si>
    <t xml:space="preserve">Intermediate Vocational Course students with the bridge course share this route</t>
  </si>
  <si>
    <t xml:space="preserve">PM Vishwakarma training and self-employment support</t>
  </si>
  <si>
    <t xml:space="preserve">Certification and Self-employment</t>
  </si>
  <si>
    <t xml:space="preserve">Traditional crafts and services</t>
  </si>
  <si>
    <t xml:space="preserve">Basic and advanced training of a few weeks</t>
  </si>
  <si>
    <t xml:space="preserve">Age 18 or above and working in one of the notified trades</t>
  </si>
  <si>
    <t xml:space="preserve">Enrolment through the portal with verification</t>
  </si>
  <si>
    <t xml:space="preserve">Enrolment cycles through the year</t>
  </si>
  <si>
    <t xml:space="preserve">Gives a training certificate, toolkit e-voucher of up to about Rs 15,000 and collateral-free loans up to Rs 3 lakh in stages</t>
  </si>
  <si>
    <t xml:space="preserve">Own workshop or enterprise in trades such as carpentry, tailoring, blacksmithy and barbering</t>
  </si>
  <si>
    <t xml:space="preserve">pmvishwakarma.gov.in</t>
  </si>
  <si>
    <t xml:space="preserve">Complements ITI skills with business support</t>
  </si>
  <si>
    <t xml:space="preserve">Senior Secondary (Class 12) through NIOS</t>
  </si>
  <si>
    <t xml:space="preserve">Flexible subject choice</t>
  </si>
  <si>
    <t xml:space="preserve">1-2 years</t>
  </si>
  <si>
    <t xml:space="preserve">Pass Secondary or equivalent</t>
  </si>
  <si>
    <t xml:space="preserve">Admissions in blocks; exams April-May and October-November</t>
  </si>
  <si>
    <t xml:space="preserve">Opens 12th-based eligibility while working</t>
  </si>
  <si>
    <t xml:space="preserve">Degree, POLYCET, defence and most entrance routes (NEET excluded for open-school candidates)</t>
  </si>
  <si>
    <t xml:space="preserve">Class 12 equivalency also improves promotion prospects in private jobs</t>
  </si>
  <si>
    <t xml:space="preserve">Specialised or additional ITI trade (Instrument Mechanic, Tool and Die Maker and similar)</t>
  </si>
  <si>
    <t xml:space="preserve">Engineering trades</t>
  </si>
  <si>
    <t xml:space="preserve">Pass SSC; prior ITI preferred for advanced modules</t>
  </si>
  <si>
    <t xml:space="preserve">AP ITI merit-based admission</t>
  </si>
  <si>
    <t xml:space="preserve">Registration April-July; counselling June-July</t>
  </si>
  <si>
    <t xml:space="preserve">Same iti.ap.gov.in admission process; NCVT trades give national mobility</t>
  </si>
  <si>
    <t xml:space="preserve">Higher-value technician roles and better apprenticeship eligibility</t>
  </si>
  <si>
    <t xml:space="preserve">Choose trades aligned to local industry demand</t>
  </si>
  <si>
    <t xml:space="preserve">Trade Apprenticeship under NAPS</t>
  </si>
  <si>
    <t xml:space="preserve">1-2 years per trade</t>
  </si>
  <si>
    <t xml:space="preserve">ITI or NTC in the relevant trade</t>
  </si>
  <si>
    <t xml:space="preserve">No exam; register and apply to establishments on the portal</t>
  </si>
  <si>
    <t xml:space="preserve">Rolling; establishments post opportunities through the year</t>
  </si>
  <si>
    <t xml:space="preserve">Register at apprenticeshipindia.gov.in; government reimburses 25 percent of the stipend up to Rs 1,500 per month; completion earns the National Apprenticeship Certificate which counts as work experience</t>
  </si>
  <si>
    <t xml:space="preserve">Absorption by the same establishment, PSU and government apprentice quotas, full-time technician roles</t>
  </si>
  <si>
    <t xml:space="preserve">apprenticeshipindia.gov.in</t>
  </si>
  <si>
    <t xml:space="preserve">Railway zones and PSUs run large apprenticeship intakes under this framework</t>
  </si>
  <si>
    <t xml:space="preserve">AMIE (Associate Member of the Institution of Engineers) via Section A and B</t>
  </si>
  <si>
    <t xml:space="preserve">3-6 years self-paced</t>
  </si>
  <si>
    <t xml:space="preserve">Three-year engineering diploma holders join as Senior Technician members of IEI</t>
  </si>
  <si>
    <t xml:space="preserve">Section A and Section B examinations of IEI</t>
  </si>
  <si>
    <t xml:space="preserve">Membership enrolment any time; exams in summer and winter terms</t>
  </si>
  <si>
    <t xml:space="preserve">Government of India notifies passing Sections A and B as equivalent to B.E. or B.Tech; accepted by UPSC, IITs and employers</t>
  </si>
  <si>
    <t xml:space="preserve">Degree-level posts, M.Tech eligibility, promotion to executive engineer</t>
  </si>
  <si>
    <t xml:space="preserve">ieindia.org</t>
  </si>
  <si>
    <t xml:space="preserve">Work-as-you-study route popular with employed diploma engineers</t>
  </si>
  <si>
    <t xml:space="preserve">B.A LL.B (5-year) via AP LAWCET</t>
  </si>
  <si>
    <t xml:space="preserve">Polytechnic diploma is treated as Intermediate (+2) with 45 percent (42 BC, 40 SC-ST); ITI is not accepted</t>
  </si>
  <si>
    <t xml:space="preserve">AP LAWCET (5-year paper) by Sri Padmavati Mahila Visvavidyalayam for APSCHE</t>
  </si>
  <si>
    <t xml:space="preserve">Applications March-April; exam around May</t>
  </si>
  <si>
    <t xml:space="preserve">Apply at cets.apsche.ap.gov.in/LAWCET; qualifying 35 percent in the test</t>
  </si>
  <si>
    <t xml:space="preserve">Advocacy, judicial services, corporate law</t>
  </si>
  <si>
    <t xml:space="preserve">Diploma is the accepted non-intermediate route</t>
  </si>
  <si>
    <t xml:space="preserve">B.Arch through NATA</t>
  </si>
  <si>
    <t xml:space="preserve">10+3 Diploma with Mathematics with at least 45 percent aggregate (40 percent reserved)</t>
  </si>
  <si>
    <t xml:space="preserve">NATA conducted by the Council of Architecture (JEE Main Paper 2 also possible)</t>
  </si>
  <si>
    <t xml:space="preserve">NATA sessions across the admission cycle; counselling rounds follow</t>
  </si>
  <si>
    <t xml:space="preserve">SPA Vijayawada and COA-recognised colleges admit diploma holders with NATA scores</t>
  </si>
  <si>
    <t xml:space="preserve">Architect, M.Arch, urban planning careers</t>
  </si>
  <si>
    <t xml:space="preserve">Diploma holders must have studied mathematics</t>
  </si>
  <si>
    <t xml:space="preserve">B.Des through NIFT Lateral Entry Admission (NLEA)</t>
  </si>
  <si>
    <t xml:space="preserve">About 3 years from lateral point</t>
  </si>
  <si>
    <t xml:space="preserve">Three or four-year diploma recognised by AICTE or a state board of technical education in fields related to fashion, apparel, textiles, design, visual communication and similar areas</t>
  </si>
  <si>
    <t xml:space="preserve">NIFT entrance GAT plus technical ability test and personal interview on the NLEA channel</t>
  </si>
  <si>
    <t xml:space="preserve">Applications November-January; tests around February with the main NIFT exam</t>
  </si>
  <si>
    <t xml:space="preserve">Lateral entry into a later year of B.Des; apply through the NTA-NIFT portal</t>
  </si>
  <si>
    <t xml:space="preserve">Design roles in the fashion and lifestyle industry</t>
  </si>
  <si>
    <t xml:space="preserve">The diploma stream must relate to the design fields listed in the NIFT guidelines</t>
  </si>
  <si>
    <t xml:space="preserve">B.Pharm via lateral entry into 2nd year</t>
  </si>
  <si>
    <t xml:space="preserve">3 years from 2nd year</t>
  </si>
  <si>
    <t xml:space="preserve">D.Pharm from a PCI-approved institution</t>
  </si>
  <si>
    <t xml:space="preserve">AP ECET (pharmacy paper)</t>
  </si>
  <si>
    <t xml:space="preserve">Same ECET window in May</t>
  </si>
  <si>
    <t xml:space="preserve">Admission into the 2nd year of B.Pharm under APSCHE counselling</t>
  </si>
  <si>
    <t xml:space="preserve">Pharmacist, drug inspector, M.Pharm and industry roles</t>
  </si>
  <si>
    <t xml:space="preserve">cets.apsche.ap.gov.in/ECET</t>
  </si>
  <si>
    <t xml:space="preserve">Open to D.Pharm holders specifically</t>
  </si>
  <si>
    <t xml:space="preserve">B.Sc (Hons) Agriculture lateral entry via AGRICET</t>
  </si>
  <si>
    <t xml:space="preserve">3 years from lateral point</t>
  </si>
  <si>
    <t xml:space="preserve">Two-year ANGRAU diploma in Agriculture, Seed Technology or Organic Farming; final-year students may also apply</t>
  </si>
  <si>
    <t xml:space="preserve">AGRICET computer-based test by ANGRAU (120 questions from the diploma syllabus)</t>
  </si>
  <si>
    <t xml:space="preserve">Applications around July (2026: July 1-27); counselling as notified</t>
  </si>
  <si>
    <t xml:space="preserve">Apply at angrau.ac.in; fee Rs 1,500 and Rs 750 for SC-ST-PH</t>
  </si>
  <si>
    <t xml:space="preserve">Agriculture officer, agri-business, ICAR PG and bank field officer roles</t>
  </si>
  <si>
    <t xml:space="preserve">Only ANGRAU diploma holders are eligible</t>
  </si>
  <si>
    <t xml:space="preserve">B.Tech or B.E. via lateral entry into 2nd year</t>
  </si>
  <si>
    <t xml:space="preserve">Diploma in the relevant branch of Engineering and Technology from SBTET AP or an equivalent board; B.Sc Mathematics graduates also eligible</t>
  </si>
  <si>
    <t xml:space="preserve">AP ECET conducted by JNTU Anantapur for APSCHE</t>
  </si>
  <si>
    <t xml:space="preserve">Applications March-April; exam around early May (2025: May 6); counselling June-July</t>
  </si>
  <si>
    <t xml:space="preserve">Apply at cets.apsche.ap.gov.in/ECET; lateral entry seats are 10 percent over and above sanctioned intake; fee about Rs 500-600 by category</t>
  </si>
  <si>
    <t xml:space="preserve">B.Tech in 3 years, GATE and M.Tech, campus placements, engineering careers</t>
  </si>
  <si>
    <t xml:space="preserve">B.Sc graduates are considered only after all qualified diploma holders</t>
  </si>
  <si>
    <t xml:space="preserve">Direct private-sector engineering employment</t>
  </si>
  <si>
    <t xml:space="preserve">Industry</t>
  </si>
  <si>
    <t xml:space="preserve">Diploma in engineering or non-engineering</t>
  </si>
  <si>
    <t xml:space="preserve">Campus placement drives and employer interviews</t>
  </si>
  <si>
    <t xml:space="preserve">Placement seasons in the final year of polytechnic</t>
  </si>
  <si>
    <t xml:space="preserve">Polytechnic placement cells arrange campus drives; second-shift and private polytechnics have industry tie-ups</t>
  </si>
  <si>
    <t xml:space="preserve">Junior engineer, draughtsman, site supervisor, CAD technician, production and maintenance roles</t>
  </si>
  <si>
    <t xml:space="preserve">Many return to ECET or AMIE later for degree-level growth</t>
  </si>
  <si>
    <t xml:space="preserve">General UG degree (B.A, B.Sc, B.Com, BBA, BCA, B.Voc) via OAMDC</t>
  </si>
  <si>
    <t xml:space="preserve">Arts, Science, Commerce and Computing</t>
  </si>
  <si>
    <t xml:space="preserve">Polytechnic diploma is treated as equivalent to Intermediate for admission; subject norms per course</t>
  </si>
  <si>
    <t xml:space="preserve">OAMDC web counselling</t>
  </si>
  <si>
    <t xml:space="preserve">Registration July-September with phases through October</t>
  </si>
  <si>
    <t xml:space="preserve">Register at oamdc-apsche.aptonline.in; engineering and pharmacy excluded; some universities allow 2nd-year lateral entry into B.Sc or B.Voc for diploma holders</t>
  </si>
  <si>
    <t xml:space="preserve">Banking, APPSC and SSC exams, IT jobs, teaching, postgraduate study</t>
  </si>
  <si>
    <t xml:space="preserve">Confirm equivalence acceptance with the admitting college</t>
  </si>
  <si>
    <t xml:space="preserve">Junior Engineer posts (SSC JE, RRB JE, AP power sector)</t>
  </si>
  <si>
    <t xml:space="preserve">Public works, power and railways</t>
  </si>
  <si>
    <t xml:space="preserve">Diploma in the relevant engineering branch; age and category norms per notification</t>
  </si>
  <si>
    <t xml:space="preserve">SSC JE and RRB JE examinations; APGENCO, APTRANSCO and discom recruitment tests</t>
  </si>
  <si>
    <t xml:space="preserve">SSC JE notification typically once a year; RRB and AP utility notifications as vacancies arise</t>
  </si>
  <si>
    <t xml:space="preserve">APGENCO and APTRANSCO notify AE and JE level posts; check their career pages</t>
  </si>
  <si>
    <t xml:space="preserve">Junior or assistant engineer in railways, CPWD, MES and state utilities</t>
  </si>
  <si>
    <t xml:space="preserve">ssc.nic.in</t>
  </si>
  <si>
    <t xml:space="preserve">Also consider APPSC polytechnic lecturer and instructor notifications</t>
  </si>
  <si>
    <t xml:space="preserve">National Apprenticeship Training Scheme (NATS)</t>
  </si>
  <si>
    <t xml:space="preserve">6 months to 1 year</t>
  </si>
  <si>
    <t xml:space="preserve">Diploma pass from a recognised board</t>
  </si>
  <si>
    <t xml:space="preserve">Register on NATS 2.0; establishments select through advertisements</t>
  </si>
  <si>
    <t xml:space="preserve">Rolling through the year</t>
  </si>
  <si>
    <t xml:space="preserve">Ministry of Education scheme; government shares 50 percent of the stipend up to Rs 4,500 monthly; Certificate of Proficiency on completion and the period counts as experience</t>
  </si>
  <si>
    <t xml:space="preserve">Frequent absorption by the establishment; else engineer-track roles</t>
  </si>
  <si>
    <t xml:space="preserve">nats.education.gov.in</t>
  </si>
  <si>
    <t xml:space="preserve">Works well before or after attempting ECET</t>
  </si>
  <si>
    <t xml:space="preserve">APPSC Group 1 / Group 2 / Group 3</t>
  </si>
  <si>
    <t xml:space="preserve">State civil services examination route</t>
  </si>
  <si>
    <t xml:space="preserve">State public administration</t>
  </si>
  <si>
    <t xml:space="preserve">Varies per cycle</t>
  </si>
  <si>
    <t xml:space="preserve">Any bachelor degree; age 18-42 for most posts with relaxations</t>
  </si>
  <si>
    <t xml:space="preserve">APPSC screening tests and mains (Andhra Pradesh Public Service Commission)</t>
  </si>
  <si>
    <t xml:space="preserve">Notification cycles vary by group; monitor psc.ap.gov.in</t>
  </si>
  <si>
    <t xml:space="preserve">AP-specific route to deputy collector, RDO, municipal commissioner, panchayat secretary and other state posts</t>
  </si>
  <si>
    <t xml:space="preserve">State gazetted and non-gazetted officer posts in Andhra Pradesh</t>
  </si>
  <si>
    <t xml:space="preserve">psc.ap.gov.in</t>
  </si>
  <si>
    <t xml:space="preserve">Groups differ in rank and eligibility; some posts need special qualifications</t>
  </si>
  <si>
    <t xml:space="preserve">Bachelor of Education (B.Ed)</t>
  </si>
  <si>
    <t xml:space="preserve">Professional teacher-training degree</t>
  </si>
  <si>
    <t xml:space="preserve">Education</t>
  </si>
  <si>
    <t xml:space="preserve">Bachelor degree with min 50% marks (relaxation for reserved categories); subject methodology must match graduation subject</t>
  </si>
  <si>
    <t xml:space="preserve">AP EdCET (2025 conducted by Acharya Nagarjuna University jointly with APSCHE)</t>
  </si>
  <si>
    <t xml:space="preserve">Registration Apr-May (2025 window 8 Apr to 14 May), exam Jun (2025 exam 5 Jun)</t>
  </si>
  <si>
    <t xml:space="preserve">AP EdCET portal cets.apsche.ap.gov.in; needed for secondary teacher (TGT/PGT) posts in AP DSC teacher recruitment; AU and SVU colleges of education participate</t>
  </si>
  <si>
    <t xml:space="preserve">School teacher (classes 6-10 and above), DSC/CRT recruitment, education sector roles</t>
  </si>
  <si>
    <t xml:space="preserve">cets.apsche.ap.gov.in</t>
  </si>
  <si>
    <t xml:space="preserve">Qualifying AP EdCET plus counselling needed for B.Ed seat allotment; score valid one year</t>
  </si>
  <si>
    <t xml:space="preserve">Bachelor of Library and Information Science (B.Lib.I.Sc)</t>
  </si>
  <si>
    <t xml:space="preserve">Professional degree</t>
  </si>
  <si>
    <t xml:space="preserve">Library and information science</t>
  </si>
  <si>
    <t xml:space="preserve">Any bachelor degree, usually 45-50% marks</t>
  </si>
  <si>
    <t xml:space="preserve">Mostly merit-based university admission; no national entrance; IGNOU offers distance mode with its own cycle</t>
  </si>
  <si>
    <t xml:space="preserve">University applications typically Jun-Jul; IGNOU admission cycles Jan-Feb and Jul-Aug</t>
  </si>
  <si>
    <t xml:space="preserve">Andhra University and SVU departments of library and information science serve AP; IGNOU distance option suits working candidates</t>
  </si>
  <si>
    <t xml:space="preserve">Librarian, information assistant, documentation officer in universities, colleges and government</t>
  </si>
  <si>
    <t xml:space="preserve">andhrauniversity.edu.in</t>
  </si>
  <si>
    <t xml:space="preserve">Follow-on M.Lib.I.Sc (1 year) for senior librarian and university positions</t>
  </si>
  <si>
    <t xml:space="preserve">Chartered Accountancy (CA)</t>
  </si>
  <si>
    <t xml:space="preserve">Professional qualification</t>
  </si>
  <si>
    <t xml:space="preserve">Accounting, audit and finance</t>
  </si>
  <si>
    <t xml:space="preserve">3-4 years including articleship</t>
  </si>
  <si>
    <t xml:space="preserve">Commerce graduates with 55% (non-commerce graduates 60%) enter directly at Intermediate level; others via Foundation</t>
  </si>
  <si>
    <t xml:space="preserve">CA Foundation, Intermediate and Final exams conducted by ICAI (Institute of Chartered Accountants of India)</t>
  </si>
  <si>
    <t xml:space="preserve">Exams held multiple times a year under ICAI revised schedule (check icai.org); Foundation/Intermediate now thrice a year</t>
  </si>
  <si>
    <t xml:space="preserve">Strong demand in AP industry and practice; articleship available in Vijayawada, Visakhapatnam and Guntur firms</t>
  </si>
  <si>
    <t xml:space="preserve">Chartered accountant in practice or industry, audit, taxation, CFO track</t>
  </si>
  <si>
    <t xml:space="preserve">Graduate direct-entry route skips Foundation; CA plus LLB is a powerful combination</t>
  </si>
  <si>
    <t xml:space="preserve">Company Secretary (CS)</t>
  </si>
  <si>
    <t xml:space="preserve">Corporate law and governance</t>
  </si>
  <si>
    <t xml:space="preserve">2-3 years after graduation</t>
  </si>
  <si>
    <t xml:space="preserve">Graduates of any stream (except fine arts) join directly at the Executive Programme</t>
  </si>
  <si>
    <t xml:space="preserve">CS Executive and Professional exams by ICSI (Institute of Company Secretaries of India)</t>
  </si>
  <si>
    <t xml:space="preserve">Exams twice a year (June and December); registration open year-round</t>
  </si>
  <si>
    <t xml:space="preserve">Popular alongside B.Com and LLB in AP; coaching available in all major AP cities</t>
  </si>
  <si>
    <t xml:space="preserve">Company secretary, compliance head, corporate legal and governance advisory</t>
  </si>
  <si>
    <t xml:space="preserve">icsi.edu</t>
  </si>
  <si>
    <t xml:space="preserve">CS plus LLB is a common dual qualification for corporate legal careers</t>
  </si>
  <si>
    <t xml:space="preserve">Diploma in Elementary Education (D.El.Ed)</t>
  </si>
  <si>
    <t xml:space="preserve">Elementary education</t>
  </si>
  <si>
    <t xml:space="preserve">10+2 pass with min 50% (relaxation for reserved categories); graduates also take this route to primary teaching</t>
  </si>
  <si>
    <t xml:space="preserve">AP DEECET (Directorate of School Education, Government of AP)</t>
  </si>
  <si>
    <t xml:space="preserve">AP DEECET 2026 registration 31 Mar to 15 Apr at apdeecet.apcfss.in and cse.ap.gov.in; exam dates notified later</t>
  </si>
  <si>
    <t xml:space="preserve">AP DEECET admits students into govt DIETs and private elementary teacher training institutions in AP; needed for AP DSC primary teacher (SGT) posts</t>
  </si>
  <si>
    <t xml:space="preserve">Primary school teacher, SGT in AP DSC, foundation-stage teaching</t>
  </si>
  <si>
    <t xml:space="preserve">apdeecet.apcfss.in</t>
  </si>
  <si>
    <t xml:space="preserve">For classes 1-5; NCTE-recognised; D.El.Ed plus CTET/TET needed for central schools</t>
  </si>
  <si>
    <t xml:space="preserve">LLB (3-year)</t>
  </si>
  <si>
    <t xml:space="preserve">Professional law degree</t>
  </si>
  <si>
    <t xml:space="preserve">Any bachelor degree with min 45% (40% for SC/ST per BCI norms)</t>
  </si>
  <si>
    <t xml:space="preserve">AP LAWCET (2025 conducted by Sri Padmavati Mahila Visvavidyalayam on behalf of APSCHE); other states have their own LAWCETs</t>
  </si>
  <si>
    <t xml:space="preserve">AP LAWCET registration late Mar-Apr, exam May-Jun (2025 exam 5 Jun); counselling follows results</t>
  </si>
  <si>
    <t xml:space="preserve">Portal cets.apsche.ap.gov.in; seats at Andhra University and SVU law departments, ANU and private law colleges across AP</t>
  </si>
  <si>
    <t xml:space="preserve">Advocate, judicial services, corporate legal, law officer in banks and PSUs</t>
  </si>
  <si>
    <t xml:space="preserve">CLAT is only for national law universities; the 3-year LLB needs a completed degree, unlike the 5-year integrated course</t>
  </si>
  <si>
    <t xml:space="preserve">M.A. / M.Sc. / M.Com (state and university PG programmes)</t>
  </si>
  <si>
    <t xml:space="preserve">Postgraduate degree</t>
  </si>
  <si>
    <t xml:space="preserve">Arts, science, commerce, social sciences</t>
  </si>
  <si>
    <t xml:space="preserve">Relevant bachelor degree; subject-wise eligibility notified each year (typically 40-50% marks)</t>
  </si>
  <si>
    <t xml:space="preserve">AP PGCET (2025 conducted by Sri Venkateswara University on behalf of APSCHE); CUET-PG for central universities</t>
  </si>
  <si>
    <t xml:space="preserve">AP PGCET registration Apr-early May, exam Jun (2025 exam 9-13 Jun); CUET-PG exam Mar-Apr</t>
  </si>
  <si>
    <t xml:space="preserve">AP PGCET covers 16 state universities incl AU, SVU, ANU, SKU, YVU, Krishna, AKNU, Dravidian, SPMVV and SVIMS Tirupati; portal cets.apsche.ap.gov.in</t>
  </si>
  <si>
    <t xml:space="preserve">Lecturer track, NET-JRF and PhD preparation, government and banking jobs, civil services backup</t>
  </si>
  <si>
    <t xml:space="preserve">No negative marking in AP PGCET; Telangana equivalent is CPGET</t>
  </si>
  <si>
    <t xml:space="preserve">Master of Business Administration (MBA)</t>
  </si>
  <si>
    <t xml:space="preserve">Management</t>
  </si>
  <si>
    <t xml:space="preserve">Any bachelor degree with min 50% marks (45% for reserved categories) at most institutes</t>
  </si>
  <si>
    <t xml:space="preserve">CAT (IIMs); XAT (XLRI); CMAT (NTA); AP ICET (Andhra University on behalf of APSCHE) for AP colleges</t>
  </si>
  <si>
    <t xml:space="preserve">CAT registration Aug-Sep, exam last Sunday of Nov (CAT 2025 held 30 Nov); XAT exam Jan; AP ICET registration Mar-Apr, exam May (2025 exam 7 May)</t>
  </si>
  <si>
    <t xml:space="preserve">AP ICET (cets.apsche.ap.gov.in) covers MBA at AU, SVU, JNTUA, JNTUK, SPMVV and affiliated colleges; IIM Visakhapatnam is the AP IIM (MBA via CAT)</t>
  </si>
  <si>
    <t xml:space="preserve">Marketing, finance, HR, operations, consulting, banking, analytics and product roles; entrepreneurship</t>
  </si>
  <si>
    <t xml:space="preserve">iimcat.ac.in</t>
  </si>
  <si>
    <t xml:space="preserve">Work experience optional for Indian 2-year MBA; IIM Vizag also runs a blended EMBA for working professionals</t>
  </si>
  <si>
    <t xml:space="preserve">Master of Computer Applications (MCA)</t>
  </si>
  <si>
    <t xml:space="preserve">Computer applications and IT</t>
  </si>
  <si>
    <t xml:space="preserve">Bachelor degree with mathematics at 10+2 or graduation level; min 50% at most institutes</t>
  </si>
  <si>
    <t xml:space="preserve">AP ICET (Andhra University on behalf of APSCHE); NIMCET for NITs</t>
  </si>
  <si>
    <t xml:space="preserve">AP ICET registration Mar-Apr, exam May; NIMCET registration Mar-Apr, exam Jun</t>
  </si>
  <si>
    <t xml:space="preserve">AP ICET is the single gateway to MCA in AP universities (AU, SVU, SPMVV and affiliated colleges); portal cets.apsche.ap.gov.in</t>
  </si>
  <si>
    <t xml:space="preserve">Software developer, systems analyst, database administrator, cloud engineer, IT project manager</t>
  </si>
  <si>
    <t xml:space="preserve">AICTE reduced MCA from 3 to 2 years in the 2020 model curriculum</t>
  </si>
  <si>
    <t xml:space="preserve">Master of Social Work (MSW)</t>
  </si>
  <si>
    <t xml:space="preserve">Social work and development</t>
  </si>
  <si>
    <t xml:space="preserve">Any bachelor degree; some universities prefer social science background</t>
  </si>
  <si>
    <t xml:space="preserve">AP PGCET for AP universities; TISS via CUET-PG; central universities via own tests</t>
  </si>
  <si>
    <t xml:space="preserve">AP PGCET registration Apr-May, exam Jun</t>
  </si>
  <si>
    <t xml:space="preserve">Offered at AU, SVU, SKU, ANU and other AP universities through AP PGCET counselling</t>
  </si>
  <si>
    <t xml:space="preserve">NGO programme manager, CSR roles, hospital and school social worker, community development</t>
  </si>
  <si>
    <t xml:space="preserve">Fieldwork practicum is a core component; TISS Mumbai is the national leader in this field</t>
  </si>
  <si>
    <t xml:space="preserve">PG Diploma in Journalism and Mass Communication (IIMC and universities)</t>
  </si>
  <si>
    <t xml:space="preserve">PG diploma</t>
  </si>
  <si>
    <t xml:space="preserve">Media and journalism</t>
  </si>
  <si>
    <t xml:space="preserve">Any bachelor degree</t>
  </si>
  <si>
    <t xml:space="preserve">IIMC admissions through CUET-PG (NTA) in recent years; university courses via AP PGCET or own entrances</t>
  </si>
  <si>
    <t xml:space="preserve">CUET-PG registration Jan-Feb, exam Mar-Apr; AP PGCET exam Jun</t>
  </si>
  <si>
    <t xml:space="preserve">Andhra University offers journalism and mass communication PG courses via AP PGCET; IIMC New Delhi and its regional centres are the national option</t>
  </si>
  <si>
    <t xml:space="preserve">Journalist, news producer, PR and corporate communications, content strategy</t>
  </si>
  <si>
    <t xml:space="preserve">iimc.nic.in</t>
  </si>
  <si>
    <t xml:space="preserve">IIMC streams include English and Hindi journalism, radio-TV and advertising-public relations</t>
  </si>
  <si>
    <t xml:space="preserve">Post Graduate Diploma in Management and executive certificates (IIMs, IIITs)</t>
  </si>
  <si>
    <t xml:space="preserve">PG diploma / executive certificate</t>
  </si>
  <si>
    <t xml:space="preserve">Management, analytics, technology</t>
  </si>
  <si>
    <t xml:space="preserve">Bachelor degree; executive certificates usually need 2-5 years work experience</t>
  </si>
  <si>
    <t xml:space="preserve">CAT/GMAT or institute-specific tests (e.g., EMAT at IIM Visakhapatnam)</t>
  </si>
  <si>
    <t xml:space="preserve">Institute-dependent; IIM Vizag EMBA admits twice a year (May and December intakes)</t>
  </si>
  <si>
    <t xml:space="preserve">IIM Visakhapatnam (iimv.ac.in) is the AP IIM and offers a 2-year blended Executive MBA plus management development programmes; IIIT Sri City in Chittoor offers industry-aligned programmes</t>
  </si>
  <si>
    <t xml:space="preserve">Mid-senior management roles, career switch to analytics or consulting</t>
  </si>
  <si>
    <t xml:space="preserve">iimv.ac.in</t>
  </si>
  <si>
    <t xml:space="preserve">IIM Vizag EMBA needs 3 years work experience and accepts EMAT, CAT, GRE or GMAT</t>
  </si>
  <si>
    <t xml:space="preserve">UPSC Civil Services Examination (IAS, IPS, IFS, IRS)</t>
  </si>
  <si>
    <t xml:space="preserve">Competitive examination route</t>
  </si>
  <si>
    <t xml:space="preserve">Public administration and governance</t>
  </si>
  <si>
    <t xml:space="preserve">1-year exam cycle; 1-2 years preparation</t>
  </si>
  <si>
    <t xml:space="preserve">Any bachelor degree; age 21-32 with relaxations for OBC/SC/ST/PwBD</t>
  </si>
  <si>
    <t xml:space="preserve">UPSC Civil Services Examination (Union Public Service Commission)</t>
  </si>
  <si>
    <t xml:space="preserve">Notification Jan-Feb, prelims May-Jun, mains Aug-Sep, interview Jan-Apr next year</t>
  </si>
  <si>
    <t xml:space="preserve">APPSC Group-1 (psc.ap.gov.in) is the AP equivalent for state services; AP study circles run free coaching for BC/SC/ST/minority candidates</t>
  </si>
  <si>
    <t xml:space="preserve">IAS, IPS, IFS, IRS and other central services officers</t>
  </si>
  <si>
    <t xml:space="preserve">Three stages: prelims, mains, interview; engineering and medical graduates also appear in large numbers</t>
  </si>
  <si>
    <t xml:space="preserve">Direct PhD after B.Tech (IITs, IIITs)</t>
  </si>
  <si>
    <t xml:space="preserve">Doctoral</t>
  </si>
  <si>
    <t xml:space="preserve">Engineering and sciences research</t>
  </si>
  <si>
    <t xml:space="preserve">4-6 years (typically 5)</t>
  </si>
  <si>
    <t xml:space="preserve">Outstanding B.Tech/BE candidates, usually high CGPA (8.0+ at many IITs) plus GATE/NET or institute test and interview</t>
  </si>
  <si>
    <t xml:space="preserve">Institute written test and interview; GATE/NET scores considered (also via APRCET for AP state universities)</t>
  </si>
  <si>
    <t xml:space="preserve">GATE exam Feb; institute PhD applications typically Feb-Apr for Jul intake and Sep-Nov for Jan intake</t>
  </si>
  <si>
    <t xml:space="preserve">IIT Tirupati (iittirupati.ac.in) and IIIT Sri City admit direct-PhD scholars in AP; AP state university PhD admissions run through APRCET</t>
  </si>
  <si>
    <t xml:space="preserve">Scientist, professor, R&amp;D leadership in industry and national labs</t>
  </si>
  <si>
    <t xml:space="preserve">iittirupati.ac.in</t>
  </si>
  <si>
    <t xml:space="preserve">Full-time scholars get institute assistantships comparable to GATE JRF</t>
  </si>
  <si>
    <t xml:space="preserve">DRDO Scientist B recruitment</t>
  </si>
  <si>
    <t xml:space="preserve">Job route via GATE</t>
  </si>
  <si>
    <t xml:space="preserve">Defence R&amp;D</t>
  </si>
  <si>
    <t xml:space="preserve">Not applicable (direct recruitment)</t>
  </si>
  <si>
    <t xml:space="preserve">First class B.Tech/BE in specified branches plus valid GATE score in the relevant paper</t>
  </si>
  <si>
    <t xml:space="preserve">DRDO RAC (Recruitment and Assessment Centre) shortlists on GATE score followed by descriptive test and interview</t>
  </si>
  <si>
    <t xml:space="preserve">GATE exam Feb; DRDO notifications usually issued after GATE results</t>
  </si>
  <si>
    <t xml:space="preserve">Selected scientists can be posted across DRDO labs; DRDL and other missile labs near AP are in Hyderabad</t>
  </si>
  <si>
    <t xml:space="preserve">Scientist B grade in DRDO laboratories across India</t>
  </si>
  <si>
    <t xml:space="preserve">rac.gov.in</t>
  </si>
  <si>
    <t xml:space="preserve">Interview and medical clearance after GATE-based shortlisting</t>
  </si>
  <si>
    <t xml:space="preserve">Graduate Marine Engineering (GME) - merchant navy</t>
  </si>
  <si>
    <t xml:space="preserve">Pre-sea diploma</t>
  </si>
  <si>
    <t xml:space="preserve">Marine engineering</t>
  </si>
  <si>
    <t xml:space="preserve">1 year course plus onboard cadetship</t>
  </si>
  <si>
    <t xml:space="preserve">BE/B.Tech mechanical or naval architecture with min 60%; medical fitness per DG Shipping standards</t>
  </si>
  <si>
    <t xml:space="preserve">IMU CET for IMU campuses; DG Shipping-approved private institutes conduct own tests</t>
  </si>
  <si>
    <t xml:space="preserve">Intakes typically twice a year; check imu.edu.in and institute notices</t>
  </si>
  <si>
    <t xml:space="preserve">Andhra Pradesh's long coastline and Visakhapatnam port cluster make marine careers locally connected</t>
  </si>
  <si>
    <t xml:space="preserve">Marine engineer on merchant vessels, shore-based shipping and port roles</t>
  </si>
  <si>
    <t xml:space="preserve">imu.edu.in</t>
  </si>
  <si>
    <t xml:space="preserve">High starting salaries; sailing contracts of 4-9 months</t>
  </si>
  <si>
    <t xml:space="preserve">ISRO Scientist/Engineer recruitment</t>
  </si>
  <si>
    <t xml:space="preserve">Job route via examination</t>
  </si>
  <si>
    <t xml:space="preserve">Space research and technology</t>
  </si>
  <si>
    <t xml:space="preserve">First class BE/B.Tech in specified branches (min 65% or CGPA 6.84); age typically under 28 with relaxations</t>
  </si>
  <si>
    <t xml:space="preserve">ISRO Centralised Recruitment Board (ICRB) written test and interview</t>
  </si>
  <si>
    <t xml:space="preserve">Recruitment notifications typically once or twice a year; monitor isro.gov.in careers page</t>
  </si>
  <si>
    <t xml:space="preserve">ISRO's Sriharikota launch centre (SDSC SHAR) is in Andhra Pradesh and is a major AP employer of engineers</t>
  </si>
  <si>
    <t xml:space="preserve">Scientist/Engineer SC at ISRO centres including SHAR Sriharikota</t>
  </si>
  <si>
    <t xml:space="preserve">isro.gov.in</t>
  </si>
  <si>
    <t xml:space="preserve">Also M.Tech at IIST or via GATE followed by ISRO openings as alternate routes</t>
  </si>
  <si>
    <t xml:space="preserve">M.Tech / M.E. via GATE (IITs, NITs, IIITs)</t>
  </si>
  <si>
    <t xml:space="preserve">Engineering and technology</t>
  </si>
  <si>
    <t xml:space="preserve">B.E/B.Tech in relevant branch (GATE has no pass-marks bar, but institutes typically want 60%; GATE 2026 also open to higher-semester students)</t>
  </si>
  <si>
    <t xml:space="preserve">GATE (Graduate Aptitude Test in Engineering; 2026 organized by IIT Guwahati on behalf of IISc and all IITs)</t>
  </si>
  <si>
    <t xml:space="preserve">GOAPS registration late Aug to early Oct, exam first two weekends of Feb (2026 exam 7-8 and 14-15 Feb), results Mar</t>
  </si>
  <si>
    <t xml:space="preserve">IIT Tirupati is the AP IIT with M.Tech programmes via GATE; admissions to NIT/IIIT M.Tech seats via CCMT counselling; GATE score valid 3 years</t>
  </si>
  <si>
    <t xml:space="preserve">R&amp;D engineer, senior design roles, PhD track, PSU recruitment (GAIL, NPCIL, NIC and others use GATE scores)</t>
  </si>
  <si>
    <t xml:space="preserve">gate2026.iitg.ac.in</t>
  </si>
  <si>
    <t xml:space="preserve">Organizing IIT rotates yearly; AICTE pays 12400 per month stipend to GATE-qualified M.Tech students</t>
  </si>
  <si>
    <t xml:space="preserve">M.Tech / M.Pharmacy at AP universities via APPGECET</t>
  </si>
  <si>
    <t xml:space="preserve">Engineering and pharmacy</t>
  </si>
  <si>
    <t xml:space="preserve">B.Tech/BE pass (institute-wise minimums apply); GATE/GPAT qualified candidates admitted via a separate notification</t>
  </si>
  <si>
    <t xml:space="preserve">APPGECET - Andhra Pradesh PG Engineering Common Entrance Test (2025 conducted by Andhra University on behalf of APSCHE)</t>
  </si>
  <si>
    <t xml:space="preserve">Registration Apr (2025 window 1-30 Apr), exam early Jun (2025 exam 6-8 Jun)</t>
  </si>
  <si>
    <t xml:space="preserve">APPGECET covers M.Tech at JNTUA Anantapur, JNTUK Kakinada, AU College of Engineering, SVU and affiliated colleges; portal cets.apsche.ap.gov.in</t>
  </si>
  <si>
    <t xml:space="preserve">Senior engineer, assistant professor, PhD route, industry R&amp;D</t>
  </si>
  <si>
    <t xml:space="preserve">GATE-qualified M.Tech students get the AICTE PG scholarship of 12400 per month</t>
  </si>
  <si>
    <t xml:space="preserve">M.Tech in AI and Machine Learning / Cyber Security at IIIT Sri City</t>
  </si>
  <si>
    <t xml:space="preserve">AI, machine learning, cybersecurity</t>
  </si>
  <si>
    <t xml:space="preserve">B.Tech/BE in CSE, ECE or equivalent branches; 60% or 6.5 CGPA (55% or 6.0 for reserved categories) for non-GATE entry</t>
  </si>
  <si>
    <t xml:space="preserve">GATE score via CCMT counselling, or IIIT Sri City institute test (written + coding test + interview) for non-GATE candidates</t>
  </si>
  <si>
    <t xml:space="preserve">CCMT rounds after GATE results (Mar-Jun); institute channel per admission advertisement</t>
  </si>
  <si>
    <t xml:space="preserve">IIIT Sri City (Chittoor district, AP) is an institute of national importance under PPP mode; also runs MS by Research and PhD in CSE/ECE</t>
  </si>
  <si>
    <t xml:space="preserve">Data scientist, ML engineer, cybersecurity engineer, research roles</t>
  </si>
  <si>
    <t xml:space="preserve">iiits.ac.in</t>
  </si>
  <si>
    <t xml:space="preserve">Non-CFTI non-GATE candidates go through a GATE-syllabus written test at the institute</t>
  </si>
  <si>
    <t xml:space="preserve">MBA after engineering</t>
  </si>
  <si>
    <t xml:space="preserve">Any bachelor degree with min 50% (45% reserved categories)</t>
  </si>
  <si>
    <t xml:space="preserve">CAT (IIMs), XAT, CMAT, AP ICET for AP colleges</t>
  </si>
  <si>
    <t xml:space="preserve">CAT registration Aug-Sep, exam Nov; AP ICET registration Mar-Apr, exam May</t>
  </si>
  <si>
    <t xml:space="preserve">IIM Visakhapatnam takes CAT; AP ICET admits to AU, SVU and JNTU-system MBA colleges</t>
  </si>
  <si>
    <t xml:space="preserve">Product and operations management, consulting, banking, technology management</t>
  </si>
  <si>
    <t xml:space="preserve">Tech plus MBA is the standard path into product and general management roles</t>
  </si>
  <si>
    <t xml:space="preserve">MS abroad (USA, Europe, Australia)</t>
  </si>
  <si>
    <t xml:space="preserve">International masters</t>
  </si>
  <si>
    <t xml:space="preserve">Engineering, computer science, data science</t>
  </si>
  <si>
    <t xml:space="preserve">1.5-2 years</t>
  </si>
  <si>
    <t xml:space="preserve">B.Tech with strong academics; English test (TOEFL/IELTS) mandatory; many US universities now GRE-optional</t>
  </si>
  <si>
    <t xml:space="preserve">GRE (ETS) plus TOEFL or IELTS</t>
  </si>
  <si>
    <t xml:space="preserve">GRE and TOEFL computer-based year-round; fall-intake applications typically Sep-Dec of previous year</t>
  </si>
  <si>
    <t xml:space="preserve">AP students commonly prepare through GRE coaching in Vijayawada and Visakhapatnam; assistantships (RA/TA) reduce cost</t>
  </si>
  <si>
    <t xml:space="preserve">Software and hardware engineering careers abroad, research, global product companies</t>
  </si>
  <si>
    <t xml:space="preserve">ets.org</t>
  </si>
  <si>
    <t xml:space="preserve">Budget for applications and visas; spring intakes exist at many universities</t>
  </si>
  <si>
    <t xml:space="preserve">PG Diploma in entrepreneurship and startup route</t>
  </si>
  <si>
    <t xml:space="preserve">Diploma and incubation route</t>
  </si>
  <si>
    <t xml:space="preserve">Entrepreneurship</t>
  </si>
  <si>
    <t xml:space="preserve">Any graduate; EDII programmes need a bachelors degree and accept CAT/XAT/CMAT or institute test</t>
  </si>
  <si>
    <t xml:space="preserve">EDII admission test or CAT/XAT/CMAT for PGDM-BE; incubators select via pitch</t>
  </si>
  <si>
    <t xml:space="preserve">Institute-specific; EDII applications typically Nov-Jun</t>
  </si>
  <si>
    <t xml:space="preserve">AP supports founders through A-Hub Visakhapatnam and AP Innovation Society programmes; Tirupati and Amaravati host student startup networks</t>
  </si>
  <si>
    <t xml:space="preserve">Founder, startup operator, family business leadership, venture roles</t>
  </si>
  <si>
    <t xml:space="preserve">ediindia.org</t>
  </si>
  <si>
    <t xml:space="preserve">Entrepreneurship Development Institute of India (Ahmedabad) PGDM-BE is AICTE-approved</t>
  </si>
  <si>
    <t xml:space="preserve">Product Management certificate programmes</t>
  </si>
  <si>
    <t xml:space="preserve">Executive certificate</t>
  </si>
  <si>
    <t xml:space="preserve">Product management</t>
  </si>
  <si>
    <t xml:space="preserve">6-12 months part-time</t>
  </si>
  <si>
    <t xml:space="preserve">B.Tech or any graduate; 2+ years work experience preferred by most programmes</t>
  </si>
  <si>
    <t xml:space="preserve">No entrance exam; profile-based admission by IIMs/IITs and partner platforms</t>
  </si>
  <si>
    <t xml:space="preserve">Rolling intakes through the year</t>
  </si>
  <si>
    <t xml:space="preserve">Delivered online by IIM and IIT executive education arms, accessible to AP professionals without relocation</t>
  </si>
  <si>
    <t xml:space="preserve">Product manager, associate product manager, product analytics and strategy roles</t>
  </si>
  <si>
    <t xml:space="preserve">Look for AICTE/UGC-recognised providers; employer recognition varies</t>
  </si>
  <si>
    <t xml:space="preserve">PSU Executive Trainee recruitment via GATE</t>
  </si>
  <si>
    <t xml:space="preserve">Energy, power, oil and gas, infrastructure</t>
  </si>
  <si>
    <t xml:space="preserve">B.Tech/BE with typically 60-65% plus valid GATE score in the relevant paper</t>
  </si>
  <si>
    <t xml:space="preserve">Individual PSU recruitment (IOCL, NTPC, BHEL, GAIL, ONGC, NHAI, NPCIL, NIC and others use GATE scores)</t>
  </si>
  <si>
    <t xml:space="preserve">PSU notifications typically Jan-Apr after GATE results</t>
  </si>
  <si>
    <t xml:space="preserve">AP power utilities APGENCO and APTRANSCO run their own assistant engineer recruitment alongside central PSUs</t>
  </si>
  <si>
    <t xml:space="preserve">Executive trainee leading to managerial grades in Maharatna and Navratna PSUs</t>
  </si>
  <si>
    <t xml:space="preserve">GATE 2026 website lists PSUs using scores; GATE score valid 3 years</t>
  </si>
  <si>
    <t xml:space="preserve">UPSC Engineering Services Examination (ESE)</t>
  </si>
  <si>
    <t xml:space="preserve">Civil, mechanical, electrical, electronics and telecom engineering</t>
  </si>
  <si>
    <t xml:space="preserve">1-year exam cycle</t>
  </si>
  <si>
    <t xml:space="preserve">Engineering degree (B.Tech/BE); age 21-30 with relaxations</t>
  </si>
  <si>
    <t xml:space="preserve">UPSC Engineering Services Examination</t>
  </si>
  <si>
    <t xml:space="preserve">Notification typically Sep, prelims Feb, mains Jun, interview later</t>
  </si>
  <si>
    <t xml:space="preserve">APPSC and AP departments also recruit assistant engineers via separate state tests</t>
  </si>
  <si>
    <t xml:space="preserve">Indian Railways (IRMS), CPWD, MES, telecom and water board engineering services</t>
  </si>
  <si>
    <t xml:space="preserve">One of the oldest UPSC exams; separate category-wise merit lists</t>
  </si>
  <si>
    <t xml:space="preserve">Advocate - legal practice after bar enrolment</t>
  </si>
  <si>
    <t xml:space="preserve">Professional practice route</t>
  </si>
  <si>
    <t xml:space="preserve">Litigation and advocacy</t>
  </si>
  <si>
    <t xml:space="preserve">Ongoing career</t>
  </si>
  <si>
    <t xml:space="preserve">LLB plus enrolment with the state bar council (Bar Council of Andhra Pradesh for AP); clear AIBE to practise</t>
  </si>
  <si>
    <t xml:space="preserve">AIBE - All India Bar Examination (Bar Council of India)</t>
  </si>
  <si>
    <t xml:space="preserve">AIBE held periodically; enrol first with the state bar council, then register for AIBE</t>
  </si>
  <si>
    <t xml:space="preserve">Enrol with Bar Council of Andhra Pradesh to practise in AP courts; district courts at Vijayawada, Visakhapatnam and Amaravati HC offer early work</t>
  </si>
  <si>
    <t xml:space="preserve">Advocate rising to senior advocate; Supreme Court practice via AOR exam after 4+ years of training and experience</t>
  </si>
  <si>
    <t xml:space="preserve">allindiabarexamination.in</t>
  </si>
  <si>
    <t xml:space="preserve">Litigation income is low early but compounds with seniority and specialisation</t>
  </si>
  <si>
    <t xml:space="preserve">AP Judicial Service - Civil Judge (Junior Division)</t>
  </si>
  <si>
    <t xml:space="preserve">Judicial services examination</t>
  </si>
  <si>
    <t xml:space="preserve">Judiciary</t>
  </si>
  <si>
    <t xml:space="preserve">1-year selection cycle plus training</t>
  </si>
  <si>
    <t xml:space="preserve">Law graduate (degree obtained within one year before notification for direct recruits); age under 35 with relaxations (AP HC 2026 notification)</t>
  </si>
  <si>
    <t xml:space="preserve">Recruitment by the High Court of Andhra Pradesh at Amaravati (screening test, 3-paper written exam, viva voce)</t>
  </si>
  <si>
    <t xml:space="preserve">2026 notification (118/2026-RC): online applications 1-26 Oct for 119 posts; 2025 cycle had screening test Jul and written exam Oct</t>
  </si>
  <si>
    <t xml:space="preserve">Serves the post-bifurcation Andhra Pradesh judiciary; check aphc.gov.in recruitments page; selection includes AP-specific language paper norms</t>
  </si>
  <si>
    <t xml:space="preserve">Civil Judge, promotion ladder to District Judge and Higher Judicial Service</t>
  </si>
  <si>
    <t xml:space="preserve">aphc.gov.in</t>
  </si>
  <si>
    <t xml:space="preserve">AP High Court 2026 recruitment: 96 direct and 23 by-transfer posts; pay 77840-136520</t>
  </si>
  <si>
    <t xml:space="preserve">Company Secretary (CS) after LLB</t>
  </si>
  <si>
    <t xml:space="preserve">Corporate law, governance and compliance</t>
  </si>
  <si>
    <t xml:space="preserve">1.5-2.5 years</t>
  </si>
  <si>
    <t xml:space="preserve">LLB graduates (like other graduates) join directly at the Executive Programme</t>
  </si>
  <si>
    <t xml:space="preserve">CS Executive and Professional exams by ICSI</t>
  </si>
  <si>
    <t xml:space="preserve">Exams June and December; registration year-round</t>
  </si>
  <si>
    <t xml:space="preserve">CS plus LLB is a common AP career combination for corporate compliance roles</t>
  </si>
  <si>
    <t xml:space="preserve">Company secretary, legal and compliance head, corporate advisory</t>
  </si>
  <si>
    <t xml:space="preserve">Law graduates are exempt from the Foundation Programme</t>
  </si>
  <si>
    <t xml:space="preserve">Judge Advocate General (JAG) entry - Indian Army</t>
  </si>
  <si>
    <t xml:space="preserve">Short Service Commission route</t>
  </si>
  <si>
    <t xml:space="preserve">Military law</t>
  </si>
  <si>
    <t xml:space="preserve">10 years SSC (extendable)</t>
  </si>
  <si>
    <t xml:space="preserve">LLB with min 55% and eligibility for bar enrolment; age 21-27</t>
  </si>
  <si>
    <t xml:space="preserve">Direct SSB interview and medical board (no written exam)</t>
  </si>
  <si>
    <t xml:space="preserve">Notifications typically twice a year on joinindianarmy.nic.in</t>
  </si>
  <si>
    <t xml:space="preserve">Open to candidates across India including AP; short service commission in the Army legal branch</t>
  </si>
  <si>
    <t xml:space="preserve">Captain (JAG) handling courts martial, military justice and legal advice</t>
  </si>
  <si>
    <t xml:space="preserve">Open to men and women; followed by permanent commission possibilities</t>
  </si>
  <si>
    <t xml:space="preserve">Judicial clerkship (Law Clerk-cum-Research Assistant)</t>
  </si>
  <si>
    <t xml:space="preserve">Short-term professional role</t>
  </si>
  <si>
    <t xml:space="preserve">About 1 year (renewable contracts)</t>
  </si>
  <si>
    <t xml:space="preserve">Fresh law graduates with strong academics; LLM often preferred at the Supreme Court</t>
  </si>
  <si>
    <t xml:space="preserve">Selection by the Supreme Court of India or High Court of Andhra Pradesh through notifications and interviews</t>
  </si>
  <si>
    <t xml:space="preserve">Supreme Court clerkship notices annually; High Court of AP notifications on aphc.gov.in</t>
  </si>
  <si>
    <t xml:space="preserve">High Court of Andhra Pradesh at Amaravati offers law clerk positions for AP graduates</t>
  </si>
  <si>
    <t xml:space="preserve">Exposure to judicial reasoning; strong stepping stone to litigation, LLM abroad, judiciary or academia</t>
  </si>
  <si>
    <t xml:space="preserve">main.sci.gov.in</t>
  </si>
  <si>
    <t xml:space="preserve">Prestigious pre-career role; often paired with judicial services preparation</t>
  </si>
  <si>
    <t xml:space="preserve">Law Officer in banks and PSUs (IBPS SO and PSU recruitment)</t>
  </si>
  <si>
    <t xml:space="preserve">Banking and PSU legal services</t>
  </si>
  <si>
    <t xml:space="preserve">LLB; some posts require 3-5 years experience or LLM</t>
  </si>
  <si>
    <t xml:space="preserve">IBPS Specialist Officer (Law) exam for public sector banks; PSUs run own legal recruitment</t>
  </si>
  <si>
    <t xml:space="preserve">IBPS SO notification typically Sep-Nov, exam Dec-Jan; PSU notifications vary</t>
  </si>
  <si>
    <t xml:space="preserve">Banks with strong AP networks recruit law officers; AP state PSUs also post legal officer roles</t>
  </si>
  <si>
    <t xml:space="preserve">Scale-I law officer in banks, legal, recovery and compliance roles</t>
  </si>
  <si>
    <t xml:space="preserve">ibps.in</t>
  </si>
  <si>
    <t xml:space="preserve">Also legal officer recruitment via insurance (LIC) and RBI notifications</t>
  </si>
  <si>
    <t xml:space="preserve">LLM abroad (UK, USA, Australia)</t>
  </si>
  <si>
    <t xml:space="preserve">1 year (UK) to 2 years (US)</t>
  </si>
  <si>
    <t xml:space="preserve">LLB with strong marks; IELTS or TOEFL; US LL.M programmes may prefer work experience</t>
  </si>
  <si>
    <t xml:space="preserve">IELTS/TOEFL; some US schools additionally ask for standardised tests</t>
  </si>
  <si>
    <t xml:space="preserve">Applications Sep-Jan for September intake; UK one-year LLM is the budget favourite</t>
  </si>
  <si>
    <t xml:space="preserve">AP students commonly use UK one-year LLMs; Chevening and Commonwealth scholarships are open to Indian lawyers</t>
  </si>
  <si>
    <t xml:space="preserve">International firm roles, foreign qualification (e.g., New York bar eligibility via US LL.M), academia</t>
  </si>
  <si>
    <t xml:space="preserve">ielts.org</t>
  </si>
  <si>
    <t xml:space="preserve">A US LL.M can make graduates eligible for the New York bar exam</t>
  </si>
  <si>
    <t xml:space="preserve">LLM via AP PGLCET (state universities)</t>
  </si>
  <si>
    <t xml:space="preserve">2 years (AP universities, per 2025 notification)</t>
  </si>
  <si>
    <t xml:space="preserve">LLB degree with 45-55% as per university norms</t>
  </si>
  <si>
    <t xml:space="preserve">AP PGLCET (2025 conducted by Sri Padmavati Mahila Visvavidyalayam on behalf of APSCHE)</t>
  </si>
  <si>
    <t xml:space="preserve">Registration late Mar-Apr, exam May-Jun (2025 exam 5 Jun, shared with AP LAWCET)</t>
  </si>
  <si>
    <t xml:space="preserve">Covers Andhra University, SVU, Acharya Nagarjuna, Krishna University and private law colleges; portal cets.apsche.ap.gov.in/lawcet</t>
  </si>
  <si>
    <t xml:space="preserve">Lecturer, PhD in law, legal advisor, higher judiciary preparation</t>
  </si>
  <si>
    <t xml:space="preserve">State route is far cheaper than NLU LLM; NALSAR is reachable via CLAT PG</t>
  </si>
  <si>
    <t xml:space="preserve">LLM via CLAT PG (national law universities)</t>
  </si>
  <si>
    <t xml:space="preserve">1 year at most NLUs</t>
  </si>
  <si>
    <t xml:space="preserve">LLB degree with min 55% (50% for reserved categories)</t>
  </si>
  <si>
    <t xml:space="preserve">CLAT PG (Consortium of National Law Universities)</t>
  </si>
  <si>
    <t xml:space="preserve">Registration Aug-Oct (2026 cycle closed 31 Oct 2025), exam early Dec (CLAT 2026 held 7 Dec 2025)</t>
  </si>
  <si>
    <t xml:space="preserve">NALSAR University of Law Hyderabad is the premier nearby NLU for AP students; all 20+ NLUs admit via CLAT PG</t>
  </si>
  <si>
    <t xml:space="preserve">Academia, judicial services preparation, corporate legal practice, LLM-to-PhD track</t>
  </si>
  <si>
    <t xml:space="preserve">consortiumofnlus.ac.in</t>
  </si>
  <si>
    <t xml:space="preserve">Offline pen-and-paper exam; NLU LLM fees are higher than state universities</t>
  </si>
  <si>
    <t xml:space="preserve">Master of Public Policy / MA Public Policy</t>
  </si>
  <si>
    <t xml:space="preserve">Public policy and governance</t>
  </si>
  <si>
    <t xml:space="preserve">Any graduate including LLB; some institutes prefer work experience</t>
  </si>
  <si>
    <t xml:space="preserve">NLSIU Bengaluru conducts its own admission process for MPP; TISS uses CUET-PG; private schools conduct own tests</t>
  </si>
  <si>
    <t xml:space="preserve">NLSIU applications typically early in the calendar year; CUET-PG exam Mar-Apr</t>
  </si>
  <si>
    <t xml:space="preserve">Policy careers pair naturally with law; AP secretariat at Amaravati and think tanks recruit policy analysts</t>
  </si>
  <si>
    <t xml:space="preserve">Policy analyst, legislative researcher, think tanks, government advisory</t>
  </si>
  <si>
    <t xml:space="preserve">nls.ac.in</t>
  </si>
  <si>
    <t xml:space="preserve">Law plus policy skills are valued in legislative consulting and regulatory affairs</t>
  </si>
  <si>
    <t xml:space="preserve">MBA after LLB</t>
  </si>
  <si>
    <t xml:space="preserve">Any bachelor degree with min 50% (45% reserved)</t>
  </si>
  <si>
    <t xml:space="preserve">IIM Visakhapatnam is the AP IIM; AP ICET covers AU, SVU and JNTU-system MBA colleges</t>
  </si>
  <si>
    <t xml:space="preserve">Consulting, BFSI and legal-tech management roles, compliance leadership</t>
  </si>
  <si>
    <t xml:space="preserve">Law plus MBA is a common route into consulting and financial services</t>
  </si>
  <si>
    <t xml:space="preserve">PG Certificate in Cyber Law and allied diplomas</t>
  </si>
  <si>
    <t xml:space="preserve">PG certificate / diploma</t>
  </si>
  <si>
    <t xml:space="preserve">Cyber law and digital forensics</t>
  </si>
  <si>
    <t xml:space="preserve">Any graduate including LLB</t>
  </si>
  <si>
    <t xml:space="preserve">IGNOU admission cycle; private institutes and NFSU have own processes</t>
  </si>
  <si>
    <t xml:space="preserve">IGNOU cycles Jan-Feb and Jul-Aug; other institutes rolling</t>
  </si>
  <si>
    <t xml:space="preserve">Online options suit practising AP advocates handling cybercrime matters; NFSU offers deeper technical cybersecurity programmes</t>
  </si>
  <si>
    <t xml:space="preserve">Cyber law consultant, cybercrime litigation, data protection and compliance advisory</t>
  </si>
  <si>
    <t xml:space="preserve">ignou.ac.in</t>
  </si>
  <si>
    <t xml:space="preserve">Data protection compliance (DPDP Act work) is a growing practice area</t>
  </si>
  <si>
    <t xml:space="preserve">DM / MCh / DrNB super-specialty via NEET SS</t>
  </si>
  <si>
    <t xml:space="preserve">Super-specialty doctoral degree</t>
  </si>
  <si>
    <t xml:space="preserve">Cardiology, neurosurgery and other super-specialties</t>
  </si>
  <si>
    <t xml:space="preserve">MD/MS or DNB in the relevant feeder speciality (to be completed by the notified cut-off date)</t>
  </si>
  <si>
    <t xml:space="preserve">NEET SS (NBEMS) - single window exam for DM, MCh and DrNB</t>
  </si>
  <si>
    <t xml:space="preserve">2025 applications 5-25 Nov, exam 26-27 Dec (dates were revised during the cycle)</t>
  </si>
  <si>
    <t xml:space="preserve">SVIMS Tirupati is the AP super-specialty university and hospital; AIIMS Mangalagiri is expanding PG and super-specialty care in AP</t>
  </si>
  <si>
    <t xml:space="preserve">Super-specialist (cardiologist, neurosurgeon etc.), academic and leadership roles</t>
  </si>
  <si>
    <t xml:space="preserve">natboard.edu.in</t>
  </si>
  <si>
    <t xml:space="preserve">MCh (surgical) courses come after MS; DM (medical) courses after MD</t>
  </si>
  <si>
    <t xml:space="preserve">DNB (Diplomate of National Board)</t>
  </si>
  <si>
    <t xml:space="preserve">Postgraduate clinical qualification</t>
  </si>
  <si>
    <t xml:space="preserve">Clinical and non-clinical specialities</t>
  </si>
  <si>
    <t xml:space="preserve">3 years broad speciality</t>
  </si>
  <si>
    <t xml:space="preserve">MBBS with completed internship; NEET PG score for DNB seats</t>
  </si>
  <si>
    <t xml:space="preserve">NEET PG (NBEMS); DNB final exam separately conducted</t>
  </si>
  <si>
    <t xml:space="preserve">Same cycle as NEET PG (applications Apr-Jun, exam mid-year)</t>
  </si>
  <si>
    <t xml:space="preserve">DNB seats exist in accredited private hospitals across Visakhapatnam, Vijayawada and other AP cities; check NBEMS accreditation lists</t>
  </si>
  <si>
    <t xml:space="preserve">Specialist status equivalent to MD/MS after passing DNB final, hospital practice, academia</t>
  </si>
  <si>
    <t xml:space="preserve">DNB is recognised as equivalent to MD/MS by NMC</t>
  </si>
  <si>
    <t xml:space="preserve">FNB - Fellowship of National Board via FET</t>
  </si>
  <si>
    <t xml:space="preserve">Post-doctoral fellowship</t>
  </si>
  <si>
    <t xml:space="preserve">Sub-specialty fellowships</t>
  </si>
  <si>
    <t xml:space="preserve">MD/MS or DNB in the relevant feeder speciality</t>
  </si>
  <si>
    <t xml:space="preserve">FET - Fellowship Entrance Test (NBEMS)</t>
  </si>
  <si>
    <t xml:space="preserve">FET typically conducted once a year; check natboard.edu.in for the current calendar</t>
  </si>
  <si>
    <t xml:space="preserve">Accredited private and trust hospitals across AP cities host FNB fellowship seats</t>
  </si>
  <si>
    <t xml:space="preserve">Sub-specialist credentials for senior consultant roles; alternative to DM/MCh for niche specialities</t>
  </si>
  <si>
    <t xml:space="preserve">Also FNB direct 6-year courses exist after MBBS at a few accredited centres for select specialities</t>
  </si>
  <si>
    <t xml:space="preserve">Master of Hospital Administration (MHA)</t>
  </si>
  <si>
    <t xml:space="preserve">Hospital and healthcare management</t>
  </si>
  <si>
    <t xml:space="preserve">Medical graduates preferred at several institutes; many also accept BDS, BAMS, nursing and other graduates</t>
  </si>
  <si>
    <t xml:space="preserve">TISS via CUET-PG; IIHMR via CAT/XAT/NMAT or its own test; other institutes vary</t>
  </si>
  <si>
    <t xml:space="preserve">TISS and CUET-PG applications Jan-Mar; IIHMR window Feb-Apr</t>
  </si>
  <si>
    <t xml:space="preserve">Useful for running corporate hospital chains and public hospitals in Visakhapatnam and Vijayawada</t>
  </si>
  <si>
    <t xml:space="preserve">Hospital administrator, healthcare operations and quality head</t>
  </si>
  <si>
    <t xml:space="preserve">tiss.ac.in</t>
  </si>
  <si>
    <t xml:space="preserve">Combines clinical insight with management for hospital leadership</t>
  </si>
  <si>
    <t xml:space="preserve">Master of Public Health (MPH)</t>
  </si>
  <si>
    <t xml:space="preserve">Public health</t>
  </si>
  <si>
    <t xml:space="preserve">MBBS, BDS, BAMS and other health science graduates; many institutes also accept nurses and allied science graduates</t>
  </si>
  <si>
    <t xml:space="preserve">Institute-level tests or interviews (e.g., TISS via CUET-PG; PHFI institutes via own process)</t>
  </si>
  <si>
    <t xml:space="preserve">Applications Jan-Apr for mid-year intakes; CUET-PG exam Mar-Apr</t>
  </si>
  <si>
    <t xml:space="preserve">Indian Institute of Public Health Hyderabad (PHFI network) is the nearest major school to AP</t>
  </si>
  <si>
    <t xml:space="preserve">Epidemiologist, public health programme manager, global health and NGO roles</t>
  </si>
  <si>
    <t xml:space="preserve">phfi.org</t>
  </si>
  <si>
    <t xml:space="preserve">Strong route into WHO, UNICEF, Gates Foundation and national health programmes</t>
  </si>
  <si>
    <t xml:space="preserve">MBA in healthcare and hospital management</t>
  </si>
  <si>
    <t xml:space="preserve">Healthcare management</t>
  </si>
  <si>
    <t xml:space="preserve">Any bachelor degree including MBBS, BDS and BAMS with min 50%</t>
  </si>
  <si>
    <t xml:space="preserve">CAT (IIMs), XAT, AP ICET for AP colleges</t>
  </si>
  <si>
    <t xml:space="preserve">CAT registration Aug-Sep, exam Nov; AP ICET exam May</t>
  </si>
  <si>
    <t xml:space="preserve">IIM Visakhapatnam and AP ICET colleges are the AP options; several IIMs offer healthcare electives</t>
  </si>
  <si>
    <t xml:space="preserve">Healthcare consultant, pharma and hospital product management, hospital leadership</t>
  </si>
  <si>
    <t xml:space="preserve">Doctors commonly use this to move into hospital administration or pharma strategy</t>
  </si>
  <si>
    <t xml:space="preserve">MD / MS (Ayurveda) via AIAPGET</t>
  </si>
  <si>
    <t xml:space="preserve">Postgraduate clinical degree</t>
  </si>
  <si>
    <t xml:space="preserve">BAMS with completed internship; AIAPGET rank for AYUSH PG counselling</t>
  </si>
  <si>
    <t xml:space="preserve">AIAPGET (National Testing Agency on behalf of NCISM, NCH and Ministry of Ayush)</t>
  </si>
  <si>
    <t xml:space="preserve">2025 applications 9 May to 8 Jun, exam 4 Jul; covers Ayurveda, Homoeopathy, Siddha and Unani</t>
  </si>
  <si>
    <t xml:space="preserve">AYUSH colleges in AP are counselled through the state AYUSH admission process; AIAPGET is the single national gateway</t>
  </si>
  <si>
    <t xml:space="preserve">Ayurveda specialist, teaching and research in AYUSH institutions</t>
  </si>
  <si>
    <t xml:space="preserve">exams.nta.ac.in/AIAPGET/</t>
  </si>
  <si>
    <t xml:space="preserve">AIAPGET has been conducted by NTA since 2019</t>
  </si>
  <si>
    <t xml:space="preserve">MD / MS via NEET PG</t>
  </si>
  <si>
    <t xml:space="preserve">Clinical medicine and surgery</t>
  </si>
  <si>
    <t xml:space="preserve">MBBS with completed internship; qualifying NEET PG percentile (50th general, 40th reserved; revised cut-offs announced by NBEMS)</t>
  </si>
  <si>
    <t xml:space="preserve">NEET PG (National Board of Examinations in Medical Sciences - NBEMS)</t>
  </si>
  <si>
    <t xml:space="preserve">Applications typically Apr-Jun; 2025 exam shifted from 15 Jun to 3 Aug by Supreme Court order</t>
  </si>
  <si>
    <t xml:space="preserve">AP 50% state-quota counselling by Dr NTR University of Health Sciences Vijayawada including SVIMS Tirupati; targets include Andhra Medical College Visakhapatnam, SV Medical College Tirupati, AIIMS Mangalagiri</t>
  </si>
  <si>
    <t xml:space="preserve">Specialist physician or surgeon; pathway to DM/MCh and senior consultant roles</t>
  </si>
  <si>
    <t xml:space="preserve">All India 50% quota counselling by MCC; 2025 held in a single shift</t>
  </si>
  <si>
    <t xml:space="preserve">MDS - Master of Dental Surgery via NEET MDS</t>
  </si>
  <si>
    <t xml:space="preserve">Dental surgery</t>
  </si>
  <si>
    <t xml:space="preserve">BDS with completed internship; qualifying NEET MDS percentile</t>
  </si>
  <si>
    <t xml:space="preserve">NEET MDS (NBEMS)</t>
  </si>
  <si>
    <t xml:space="preserve">2025 applications 18 Feb to 10 Mar, exam 19 Apr; internship cut-off dates matter for eligibility</t>
  </si>
  <si>
    <t xml:space="preserve">AP dental college seats are counselled by the AP health university; government and private dental colleges participate</t>
  </si>
  <si>
    <t xml:space="preserve">MDS specialist, senior dental surgeon, dental academia</t>
  </si>
  <si>
    <t xml:space="preserve">BDS holders can also take NEET PG for non-clinical MD seats like anatomy and physiology</t>
  </si>
  <si>
    <t xml:space="preserve">PLAB - UK medical registration route</t>
  </si>
  <si>
    <t xml:space="preserve">Licensing examination route (abroad)</t>
  </si>
  <si>
    <t xml:space="preserve">Medicine (UK)</t>
  </si>
  <si>
    <t xml:space="preserve">1-2 years including both PLAB tests</t>
  </si>
  <si>
    <t xml:space="preserve">MBBS plus acceptable English test (IELTS or OET)</t>
  </si>
  <si>
    <t xml:space="preserve">PLAB 1 and PLAB 2 (General Medical Council, UK)</t>
  </si>
  <si>
    <t xml:space="preserve">PLAB 1 several times a year; PLAB 2 conducted on rolling basis in Manchester</t>
  </si>
  <si>
    <t xml:space="preserve">Cheaper route than USMLE; widely used by Indian MBBS graduates including AP doctors</t>
  </si>
  <si>
    <t xml:space="preserve">GMC registration, junior doctor and training posts in the NHS, UK practice</t>
  </si>
  <si>
    <t xml:space="preserve">gmc-uk.org</t>
  </si>
  <si>
    <t xml:space="preserve">Followed by UK visa process and GMC full registration steps</t>
  </si>
  <si>
    <t xml:space="preserve">UPSC Combined Medical Services (CMS)</t>
  </si>
  <si>
    <t xml:space="preserve">Examination route to central health services</t>
  </si>
  <si>
    <t xml:space="preserve">Government medical services</t>
  </si>
  <si>
    <t xml:space="preserve">MBBS (final year students and those completing internship within the notified date are eligible)</t>
  </si>
  <si>
    <t xml:space="preserve">UPSC CMS</t>
  </si>
  <si>
    <t xml:space="preserve">Notification typically Mar-Apr, exam Jul</t>
  </si>
  <si>
    <t xml:space="preserve">AP also fills Civil Assistant Surgeon and medical officer posts via its own DME recruitment</t>
  </si>
  <si>
    <t xml:space="preserve">Medical officer in central government hospitals, Indian Railways (ADMO), municipal and defence services</t>
  </si>
  <si>
    <t xml:space="preserve">Includes Assistant Divisional Medical Officer railways and similar posts</t>
  </si>
  <si>
    <t xml:space="preserve">USMLE - US medical residency route</t>
  </si>
  <si>
    <t xml:space="preserve">Medicine (USA)</t>
  </si>
  <si>
    <t xml:space="preserve">1-2 years for steps plus residency matching</t>
  </si>
  <si>
    <t xml:space="preserve">MBBS graduate; ECFMG certification path for international medical graduates</t>
  </si>
  <si>
    <t xml:space="preserve">USMLE Steps 1 and 2 CK (FSMB and NBME; ECFMG coordinates for international graduates) plus ERAS/NRMP match</t>
  </si>
  <si>
    <t xml:space="preserve">Steps available year-round at Prometric centres; residency applications typically Sep-Nov for the following year match</t>
  </si>
  <si>
    <t xml:space="preserve">USMLE coaching networks serve AP students mainly via Hyderabad and Visakhapatnam centres</t>
  </si>
  <si>
    <t xml:space="preserve">Residency and specialist practice in the United States</t>
  </si>
  <si>
    <t xml:space="preserve">ecfmg.org</t>
  </si>
  <si>
    <t xml:space="preserve">Step 1 is pass/fail; significant per-step costs apply; strong demand for clinical experience records</t>
  </si>
  <si>
    <t xml:space="preserve">Dr D S Kothari Postdoctoral Fellowship (DSK PDF)</t>
  </si>
  <si>
    <t xml:space="preserve">Postdoctoral fellowship</t>
  </si>
  <si>
    <t xml:space="preserve">Sciences and applied sciences</t>
  </si>
  <si>
    <t xml:space="preserve">2-3 years as per UGC norms (verify current call)</t>
  </si>
  <si>
    <t xml:space="preserve">PhD in a science subject; age 35 or below with relaxations; unemployed at the time of award</t>
  </si>
  <si>
    <t xml:space="preserve">UGC scheme; selection via online application and peer review</t>
  </si>
  <si>
    <t xml:space="preserve">Rolling applications through the UGC DSK PDF portal (historically ugcdskpdf.unipune.ac.in); check ugc.gov.in for live calls</t>
  </si>
  <si>
    <t xml:space="preserve">Designed to place postdocs in Indian universities; AP university science departments can host fellows</t>
  </si>
  <si>
    <t xml:space="preserve">Academic career preparation, faculty positions at Indian universities</t>
  </si>
  <si>
    <t xml:space="preserve">ugc.gov.in</t>
  </si>
  <si>
    <t xml:space="preserve">Calls have been irregular in recent years; verify the scheme's current status on ugc.gov.in before planning around it</t>
  </si>
  <si>
    <t xml:space="preserve">Executive MBA / one-year management programmes</t>
  </si>
  <si>
    <t xml:space="preserve">Postgraduate executive programme</t>
  </si>
  <si>
    <t xml:space="preserve">Graduates with work experience; IIM Vizag EMBA requires a bachelors degree with 50% and 3 years work experience</t>
  </si>
  <si>
    <t xml:space="preserve">EMAT (institute test) or CAT/GRE/GMAT at IIM Visakhapatnam; GMAT/GRE at ISB; institute tests elsewhere</t>
  </si>
  <si>
    <t xml:space="preserve">IIM Vizag EMBA admits twice a year (May and December); ISB PGP deadlines run Jun-Jan for April intake</t>
  </si>
  <si>
    <t xml:space="preserve">IIM Visakhapatnam offers a 2-year blended EMBA for working professionals with campus immersions at Visakhapatnam; ISB Hyderabad is the nearest top school</t>
  </si>
  <si>
    <t xml:space="preserve">Leadership and CXO-track roles, consulting, entrepreneurship</t>
  </si>
  <si>
    <t xml:space="preserve">Designed to be taken without leaving employment</t>
  </si>
  <si>
    <t xml:space="preserve">ICSSR doctoral and postdoctoral fellowships</t>
  </si>
  <si>
    <t xml:space="preserve">Fellowships</t>
  </si>
  <si>
    <t xml:space="preserve">Social science research</t>
  </si>
  <si>
    <t xml:space="preserve">2-5 years depending on the scheme</t>
  </si>
  <si>
    <t xml:space="preserve">Social science scholars registered for PhD (doctoral grants) or PhD holders (postdoctoral grants) at recognised institutions</t>
  </si>
  <si>
    <t xml:space="preserve">ICSSR fellowship selection through research proposal evaluation</t>
  </si>
  <si>
    <t xml:space="preserve">Calls announced on icssr.org; check the fellowships page for open schemes</t>
  </si>
  <si>
    <t xml:space="preserve">Usable at AP universities including Central University of Andhra Pradesh (Anantapur) and AP state universities</t>
  </si>
  <si>
    <t xml:space="preserve">Social science research careers, policy institutes, academia</t>
  </si>
  <si>
    <t xml:space="preserve">icssr.org</t>
  </si>
  <si>
    <t xml:space="preserve">Covers disciplines like sociology, economics, political science and psychology</t>
  </si>
  <si>
    <t xml:space="preserve">INSPIRE Fellowship (DST)</t>
  </si>
  <si>
    <t xml:space="preserve">Research fellowship</t>
  </si>
  <si>
    <t xml:space="preserve">Basic and applied sciences, engineering, medicine</t>
  </si>
  <si>
    <t xml:space="preserve">Up to 5 years (till PhD completion)</t>
  </si>
  <si>
    <t xml:space="preserve">University first-rank holders at PG level in basic/applied sciences (min 70% aggregate per current FAQ) or INSPIRE-SHE scholars with min 65-70% at M.Sc; MBBS rank holders also eligible</t>
  </si>
  <si>
    <t xml:space="preserve">No exam; selection by DST through screening and subject expert committee evaluation</t>
  </si>
  <si>
    <t xml:space="preserve">Call announced in the 3rd/4th quarter of the financial year at online-inspire.gov.in; about 1000 fellowships a year</t>
  </si>
  <si>
    <t xml:space="preserve">AP university science departments and national labs host INSPIRE fellows; fellowship equals NET/GATE JRF-SRF rates plus HRA</t>
  </si>
  <si>
    <t xml:space="preserve">PhD in sciences in India leading to research careers</t>
  </si>
  <si>
    <t xml:space="preserve">online-inspire.gov.in</t>
  </si>
  <si>
    <t xml:space="preserve">Two-tier selection: eligibility screening then research proposal evaluation</t>
  </si>
  <si>
    <t xml:space="preserve">PhD abroad</t>
  </si>
  <si>
    <t xml:space="preserve">International doctoral</t>
  </si>
  <si>
    <t xml:space="preserve">All domains</t>
  </si>
  <si>
    <t xml:space="preserve">3-5 years</t>
  </si>
  <si>
    <t xml:space="preserve">Masters with a research profile; IELTS/TOEFL; GRE for some (especially US) programmes; country-specific scholarships (Fulbright-Nehru, DAAD)</t>
  </si>
  <si>
    <t xml:space="preserve">GRE, IELTS, TOEFL; university and departmental selections</t>
  </si>
  <si>
    <t xml:space="preserve">US deadlines typically Nov-Jan for fall; European deadlines vary by scholarship (DAAD, Erasmus etc.)</t>
  </si>
  <si>
    <t xml:space="preserve">AP scholars commonly target US, Germany, UK and Australia; funding via assistantships and bilateral scholarships</t>
  </si>
  <si>
    <t xml:space="preserve">International academic career, research positions abroad, return to Indian academia as faculty</t>
  </si>
  <si>
    <t xml:space="preserve">usief.org.in</t>
  </si>
  <si>
    <t xml:space="preserve">Fulbright-Nehru fellowships (usief.org.in) fund Indian scholars for US study and research</t>
  </si>
  <si>
    <t xml:space="preserve">PhD at IIT Tirupati and IIIT Sri City</t>
  </si>
  <si>
    <t xml:space="preserve">Engineering, sciences, CSE, ECE</t>
  </si>
  <si>
    <t xml:space="preserve">4-6 years</t>
  </si>
  <si>
    <t xml:space="preserve">Masters (or outstanding B.Tech for direct PhD); GATE/NET scores considered, followed by institute test and interview</t>
  </si>
  <si>
    <t xml:space="preserve">Institute admission process (written test plus interview); GATE/NET strengthens the application</t>
  </si>
  <si>
    <t xml:space="preserve">Applications typically before the July and January semester intakes; check institute admission pages</t>
  </si>
  <si>
    <t xml:space="preserve">IIT Tirupati and IIIT Sri City (Chittoor) are AP's premier research campuses; both run MS by research and PhD with assistantships</t>
  </si>
  <si>
    <t xml:space="preserve">Academic and industrial research careers, faculty positions</t>
  </si>
  <si>
    <t xml:space="preserve">Full-time scholars receive institute assistantships similar to GATE JRF</t>
  </si>
  <si>
    <t xml:space="preserve">PhD in AP state universities via APRCET</t>
  </si>
  <si>
    <t xml:space="preserve">All domains (science, arts, commerce, engineering, law, pharmacy etc.)</t>
  </si>
  <si>
    <t xml:space="preserve">Masters with min 55% (50% for reserved categories); APRCET rank plus interview</t>
  </si>
  <si>
    <t xml:space="preserve">APRCET - Andhra Pradesh Research Common Entrance Test (2024-25 conducted by Sri Padmavati Mahila Visvavidyalayam on behalf of APSCHE)</t>
  </si>
  <si>
    <t xml:space="preserve">2024-25 exam held 3-7 Nov 2025 with applications from 7 Oct 2025; counselling via rcet.che.ap.gov.in</t>
  </si>
  <si>
    <t xml:space="preserve">Single state gateway to full-time and part-time PhD seats in AU, SVU, JNTUA, JNTUK, SKU, ANU, SVIMS and other AP state universities and research centres</t>
  </si>
  <si>
    <t xml:space="preserve">Professor-researcher track, industry R&amp;D, senior specialist roles</t>
  </si>
  <si>
    <t xml:space="preserve">AP's equivalent of a state-level NET; web counselling after ranks are announced</t>
  </si>
  <si>
    <t xml:space="preserve">PhD via Joint CSIR-UGC NET / JRF</t>
  </si>
  <si>
    <t xml:space="preserve">Chemical, life, earth, mathematical and physical sciences</t>
  </si>
  <si>
    <t xml:space="preserve">4-5 years</t>
  </si>
  <si>
    <t xml:space="preserve">M.Sc or 4-year BS/BE/B.Tech with min 55% (50% reserved); JRF age 28 or below</t>
  </si>
  <si>
    <t xml:space="preserve">Joint CSIR-UGC NET (conducted by NTA on behalf of CSIR; csirnet.nta.nic.in)</t>
  </si>
  <si>
    <t xml:space="preserve">June and December cycles; CSIR JRF stipend 37000 per month rising to 42000 as SRF</t>
  </si>
  <si>
    <t xml:space="preserve">AU, SVU and other AP university science departments accept CSIR-NET; nearby national labs like IICT and CCMB (Hyderabad) host JRFs</t>
  </si>
  <si>
    <t xml:space="preserve">Scientist in CSIR and national labs, professor, industrial R&amp;D</t>
  </si>
  <si>
    <t xml:space="preserve">csirnet.nta.nic.in</t>
  </si>
  <si>
    <t xml:space="preserve">Covers five science subject groups; lectureship eligibility has no age limit</t>
  </si>
  <si>
    <t xml:space="preserve">PhD via UGC-NET / JRF</t>
  </si>
  <si>
    <t xml:space="preserve">Arts, commerce, social sciences, languages, education</t>
  </si>
  <si>
    <t xml:space="preserve">Masters with min 55% (50% for reserved categories); JRF requires age 30 or below, Assistant Professor eligibility has no age limit</t>
  </si>
  <si>
    <t xml:space="preserve">UGC NET (National Testing Agency on behalf of University Grants Commission)</t>
  </si>
  <si>
    <t xml:space="preserve">Held in June and December cycles (NTA calendar may adjust); registration opens a few months prior</t>
  </si>
  <si>
    <t xml:space="preserve">NET qualification is accepted by AP universities; AP state-university PhD admission also runs through APRCET; JRF stipend 37000 per month, SRF 42000</t>
  </si>
  <si>
    <t xml:space="preserve">Assistant professor track, research careers, policy and think-tank roles</t>
  </si>
  <si>
    <t xml:space="preserve">ugcnet.nta.nic.in</t>
  </si>
  <si>
    <t xml:space="preserve">NET certificate for Assistant Professor eligibility is valid for lifetime</t>
  </si>
  <si>
    <t xml:space="preserve">Senior executive programmes (IIMs, ISB)</t>
  </si>
  <si>
    <t xml:space="preserve">Leadership and strategy</t>
  </si>
  <si>
    <t xml:space="preserve">3 months to 1 year part-time</t>
  </si>
  <si>
    <t xml:space="preserve">Senior professionals typically with 8-15 years experience; profile-based admission</t>
  </si>
  <si>
    <t xml:space="preserve">No entrance test; profile review and interviews</t>
  </si>
  <si>
    <t xml:space="preserve">Rolling intakes several times a year</t>
  </si>
  <si>
    <t xml:space="preserve">IIM Visakhapatnam and other IIMs deliver online and blended senior programmes accessible from AP</t>
  </si>
  <si>
    <t xml:space="preserve">General management readiness, board and CXO-track roles, consulting</t>
  </si>
  <si>
    <t xml:space="preserve">Advanced management programmes; employer sponsorship is common</t>
  </si>
  <si>
    <t xml:space="preserve">SERB National Postdoctoral Fellowship (NPDF)</t>
  </si>
  <si>
    <t xml:space="preserve">Science and engineering</t>
  </si>
  <si>
    <t xml:space="preserve">Per SERB norms (see current call)</t>
  </si>
  <si>
    <t xml:space="preserve">Recently awarded PhD in science or engineering; other age and experience norms per SERB</t>
  </si>
  <si>
    <t xml:space="preserve">No exam; proposal-based selection by the Science and Engineering Research Board</t>
  </si>
  <si>
    <t xml:space="preserve">Calls announced periodically on serb.gov.in</t>
  </si>
  <si>
    <t xml:space="preserve">Can be hosted at any recognised Indian research institution including AP universities and IIT Tirupati</t>
  </si>
  <si>
    <t xml:space="preserve">Independent research track, faculty preparation, national lab scientist roles</t>
  </si>
  <si>
    <t xml:space="preserve">serb.gov.in</t>
  </si>
  <si>
    <t xml:space="preserve">Highly competitive; requires a strong host institution and supervisor</t>
  </si>
  <si>
    <t xml:space="preserve">UGC-NET for Assistant Professor (plus APSET)</t>
  </si>
  <si>
    <t xml:space="preserve">Qualifying examination route</t>
  </si>
  <si>
    <t xml:space="preserve">Higher education teaching</t>
  </si>
  <si>
    <t xml:space="preserve">Exam cycle; recruitment follows</t>
  </si>
  <si>
    <t xml:space="preserve">Masters with min 55% (50% reserved); no age limit for Assistant Professor</t>
  </si>
  <si>
    <t xml:space="preserve">UGC NET (NTA); APSET - Andhra Pradesh State Eligibility Test conducted by Andhra University on behalf of the Government of AP</t>
  </si>
  <si>
    <t xml:space="preserve">UGC NET June and December cycles; APSET 2025 notification 31 Dec, applications Jan-Feb, exam Mar (2025-26 exam 28-29 Mar)</t>
  </si>
  <si>
    <t xml:space="preserve">APSET (apset.net.in, 30 subjects) qualifies candidates for Assistant Professor posts within AP universities and colleges and is valid for lifetime; NET is valid nationwide</t>
  </si>
  <si>
    <t xml:space="preserve">Assistant professor and lecturer posts in universities and colleges</t>
  </si>
  <si>
    <t xml:space="preserve">APSET is only an eligibility test, not recruitment; appointments follow university rules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</si>
</sst>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sz val="11"/>
      <color rgb="FF40404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DDEDE7"/>
      </patternFill>
    </fill>
    <fill>
      <patternFill patternType="solid">
        <fgColor rgb="FFE2EFDA"/>
        <bgColor rgb="FFDDEDE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2DCDB"/>
      </patternFill>
    </fill>
    <fill>
      <patternFill patternType="solid">
        <fgColor rgb="FFEDEDED"/>
        <bgColor rgb="FFE2EFDA"/>
      </patternFill>
    </fill>
    <fill>
      <patternFill patternType="solid">
        <fgColor rgb="FFD9E1F2"/>
        <bgColor rgb="FFE4DFEC"/>
      </patternFill>
    </fill>
    <fill>
      <patternFill patternType="solid">
        <fgColor rgb="FFE4DFEC"/>
        <bgColor rgb="FFD9E1F2"/>
      </patternFill>
    </fill>
    <fill>
      <patternFill patternType="solid">
        <fgColor rgb="FFDDEDE7"/>
        <bgColor rgb="FFE2EFDA"/>
      </patternFill>
    </fill>
    <fill>
      <patternFill patternType="solid">
        <fgColor rgb="FFF2DCDB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DDEDE7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4DFEC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2DCDB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DE7"/>
      <rgbColor rgb="FFE2EFDA"/>
      <rgbColor rgb="FFFCE4D6"/>
      <rgbColor rgb="FFE4DFEC"/>
      <rgbColor rgb="FFEDEDED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92"/>
    <col collapsed="false" customWidth="true" hidden="false" outlineLevel="0" max="4" min="4" style="0" width="10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true" outlineLevel="0" collapsed="false">
      <c r="B7" s="4" t="s">
        <v>4</v>
      </c>
      <c r="C7" s="4"/>
      <c r="D7" s="4"/>
    </row>
    <row r="8" customFormat="false" ht="15" hidden="false" customHeight="false" outlineLevel="0" collapsed="false">
      <c r="B8" s="4"/>
      <c r="C8" s="4"/>
      <c r="D8" s="4"/>
    </row>
    <row r="9" customFormat="false" ht="15" hidden="false" customHeight="true" outlineLevel="0" collapsed="false">
      <c r="B9" s="4" t="s">
        <v>5</v>
      </c>
      <c r="C9" s="4"/>
      <c r="D9" s="4"/>
    </row>
    <row r="10" customFormat="false" ht="15" hidden="false" customHeight="false" outlineLevel="0" collapsed="false">
      <c r="B10" s="4"/>
      <c r="C10" s="4"/>
      <c r="D10" s="4"/>
    </row>
    <row r="11" customFormat="false" ht="15" hidden="false" customHeight="true" outlineLevel="0" collapsed="false">
      <c r="B11" s="4" t="s">
        <v>6</v>
      </c>
      <c r="C11" s="4"/>
      <c r="D11" s="4"/>
    </row>
    <row r="12" customFormat="false" ht="15" hidden="false" customHeight="false" outlineLevel="0" collapsed="false">
      <c r="B12" s="4"/>
      <c r="C12" s="4"/>
      <c r="D12" s="4"/>
    </row>
    <row r="13" customFormat="false" ht="15" hidden="false" customHeight="true" outlineLevel="0" collapsed="false">
      <c r="B13" s="4" t="s">
        <v>7</v>
      </c>
      <c r="C13" s="4"/>
      <c r="D13" s="4"/>
    </row>
    <row r="14" customFormat="false" ht="15" hidden="false" customHeight="false" outlineLevel="0" collapsed="false">
      <c r="B14" s="4"/>
      <c r="C14" s="4"/>
      <c r="D14" s="4"/>
    </row>
    <row r="17" customFormat="false" ht="15" hidden="false" customHeight="false" outlineLevel="0" collapsed="false">
      <c r="B17" s="3" t="s">
        <v>8</v>
      </c>
    </row>
    <row r="18" customFormat="false" ht="15" hidden="false" customHeight="false" outlineLevel="0" collapsed="false">
      <c r="B18" s="5" t="s">
        <v>9</v>
      </c>
      <c r="C18" s="5" t="s">
        <v>10</v>
      </c>
      <c r="D18" s="5" t="s">
        <v>11</v>
      </c>
    </row>
    <row r="19" customFormat="false" ht="15" hidden="false" customHeight="false" outlineLevel="0" collapsed="false">
      <c r="B19" s="6" t="s">
        <v>12</v>
      </c>
      <c r="C19" s="7" t="s">
        <v>13</v>
      </c>
      <c r="D19" s="8" t="n">
        <f aca="false">COUNTIF(Pathways!B2:B200,"After Class 10 (SSC)")</f>
        <v>14</v>
      </c>
    </row>
    <row r="20" customFormat="false" ht="15" hidden="false" customHeight="false" outlineLevel="0" collapsed="false">
      <c r="B20" s="6" t="s">
        <v>14</v>
      </c>
      <c r="C20" s="7" t="s">
        <v>15</v>
      </c>
      <c r="D20" s="8" t="n">
        <f aca="false">COUNTIF(Pathways!B2:B200,"After Intermediate (Class 12)")</f>
        <v>15</v>
      </c>
    </row>
    <row r="21" customFormat="false" ht="15" hidden="false" customHeight="false" outlineLevel="0" collapsed="false">
      <c r="B21" s="6" t="s">
        <v>16</v>
      </c>
      <c r="C21" s="7" t="s">
        <v>17</v>
      </c>
      <c r="D21" s="8" t="n">
        <f aca="false">COUNTIF(Pathways!B2:B200,"After ITI")</f>
        <v>11</v>
      </c>
    </row>
    <row r="22" customFormat="false" ht="15" hidden="false" customHeight="false" outlineLevel="0" collapsed="false">
      <c r="B22" s="6" t="s">
        <v>18</v>
      </c>
      <c r="C22" s="7" t="s">
        <v>19</v>
      </c>
      <c r="D22" s="8" t="n">
        <f aca="false">COUNTIF(Pathways!B2:B200,"After Diploma (Polytechnic)")</f>
        <v>11</v>
      </c>
    </row>
    <row r="23" customFormat="false" ht="15" hidden="false" customHeight="false" outlineLevel="0" collapsed="false">
      <c r="B23" s="6" t="s">
        <v>20</v>
      </c>
      <c r="C23" s="7" t="s">
        <v>21</v>
      </c>
      <c r="D23" s="8" t="n">
        <f aca="false">COUNTIF(Pathways!B2:B200,"After any Degree (BA/B.Sc/B.Com)")</f>
        <v>14</v>
      </c>
    </row>
    <row r="24" customFormat="false" ht="15" hidden="false" customHeight="false" outlineLevel="0" collapsed="false">
      <c r="B24" s="6" t="s">
        <v>22</v>
      </c>
      <c r="C24" s="7" t="s">
        <v>23</v>
      </c>
      <c r="D24" s="8" t="n">
        <f aca="false">COUNTIF(Pathways!B2:B200,"After B.Tech / BE")</f>
        <v>13</v>
      </c>
    </row>
    <row r="25" customFormat="false" ht="15" hidden="false" customHeight="false" outlineLevel="0" collapsed="false">
      <c r="B25" s="6" t="s">
        <v>24</v>
      </c>
      <c r="C25" s="7" t="s">
        <v>25</v>
      </c>
      <c r="D25" s="8" t="n">
        <f aca="false">COUNTIF(Pathways!B2:B200,"After Law (LLB)")</f>
        <v>12</v>
      </c>
    </row>
    <row r="26" customFormat="false" ht="15" hidden="false" customHeight="false" outlineLevel="0" collapsed="false">
      <c r="B26" s="6" t="s">
        <v>26</v>
      </c>
      <c r="C26" s="7" t="s">
        <v>27</v>
      </c>
      <c r="D26" s="8" t="n">
        <f aca="false">COUNTIF(Pathways!B2:B200,"After Medicine (MBBS/BAMS/BDS)")</f>
        <v>12</v>
      </c>
    </row>
    <row r="27" customFormat="false" ht="15" hidden="false" customHeight="false" outlineLevel="0" collapsed="false">
      <c r="B27" s="6" t="s">
        <v>28</v>
      </c>
      <c r="C27" s="7" t="s">
        <v>29</v>
      </c>
      <c r="D27" s="8" t="n">
        <f aca="false">COUNTIF(Pathways!B2:B200,"After PG / Masters")</f>
        <v>12</v>
      </c>
    </row>
    <row r="29" customFormat="false" ht="15" hidden="false" customHeight="false" outlineLevel="0" collapsed="false">
      <c r="B29" s="9" t="s">
        <v>30</v>
      </c>
      <c r="D29" s="10" t="n">
        <f aca="false">COUNTA(Pathways!A2:A200)</f>
        <v>114</v>
      </c>
    </row>
  </sheetData>
  <mergeCells count="4">
    <mergeCell ref="B7:D8"/>
    <mergeCell ref="B9:D10"/>
    <mergeCell ref="B11:D12"/>
    <mergeCell ref="B13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8" min="7" style="0" width="34"/>
    <col collapsed="false" customWidth="true" hidden="false" outlineLevel="0" max="9" min="9" style="0" width="24"/>
    <col collapsed="false" customWidth="true" hidden="false" outlineLevel="0" max="10" min="10" style="0" width="34"/>
    <col collapsed="false" customWidth="true" hidden="false" outlineLevel="0" max="11" min="11" style="0" width="32"/>
    <col collapsed="false" customWidth="true" hidden="false" outlineLevel="0" max="12" min="12" style="0" width="28"/>
    <col collapsed="false" customWidth="true" hidden="false" outlineLevel="0" max="13" min="13" style="0" width="32"/>
  </cols>
  <sheetData>
    <row r="1" customFormat="false" ht="15" hidden="false" customHeight="false" outlineLevel="0" collapsed="false">
      <c r="A1" s="11" t="s">
        <v>31</v>
      </c>
      <c r="B1" s="11" t="s">
        <v>32</v>
      </c>
      <c r="C1" s="11" t="s">
        <v>33</v>
      </c>
      <c r="D1" s="11" t="s">
        <v>34</v>
      </c>
      <c r="E1" s="11" t="s">
        <v>35</v>
      </c>
      <c r="F1" s="11" t="s">
        <v>36</v>
      </c>
      <c r="G1" s="11" t="s">
        <v>37</v>
      </c>
      <c r="H1" s="11" t="s">
        <v>38</v>
      </c>
      <c r="I1" s="11" t="s">
        <v>39</v>
      </c>
      <c r="J1" s="11" t="s">
        <v>40</v>
      </c>
      <c r="K1" s="11" t="s">
        <v>41</v>
      </c>
      <c r="L1" s="11" t="s">
        <v>42</v>
      </c>
      <c r="M1" s="11" t="s">
        <v>43</v>
      </c>
    </row>
    <row r="2" customFormat="false" ht="15" hidden="false" customHeight="false" outlineLevel="0" collapsed="false">
      <c r="A2" s="7" t="n">
        <v>1</v>
      </c>
      <c r="B2" s="12" t="s">
        <v>12</v>
      </c>
      <c r="C2" s="7" t="s">
        <v>44</v>
      </c>
      <c r="D2" s="7" t="s">
        <v>45</v>
      </c>
      <c r="E2" s="7" t="s">
        <v>46</v>
      </c>
      <c r="F2" s="7" t="s">
        <v>47</v>
      </c>
      <c r="G2" s="7" t="s">
        <v>48</v>
      </c>
      <c r="H2" s="7" t="s">
        <v>49</v>
      </c>
      <c r="I2" s="7" t="s">
        <v>50</v>
      </c>
      <c r="J2" s="7" t="s">
        <v>51</v>
      </c>
      <c r="K2" s="7" t="s">
        <v>52</v>
      </c>
      <c r="L2" s="7" t="s">
        <v>53</v>
      </c>
      <c r="M2" s="7" t="s">
        <v>54</v>
      </c>
    </row>
    <row r="3" customFormat="false" ht="15" hidden="false" customHeight="false" outlineLevel="0" collapsed="false">
      <c r="A3" s="7" t="n">
        <v>2</v>
      </c>
      <c r="B3" s="12" t="s">
        <v>12</v>
      </c>
      <c r="C3" s="7" t="s">
        <v>55</v>
      </c>
      <c r="D3" s="7" t="s">
        <v>56</v>
      </c>
      <c r="E3" s="7" t="s">
        <v>57</v>
      </c>
      <c r="F3" s="7" t="s">
        <v>58</v>
      </c>
      <c r="G3" s="7" t="s">
        <v>59</v>
      </c>
      <c r="H3" s="7" t="s">
        <v>60</v>
      </c>
      <c r="I3" s="7" t="s">
        <v>61</v>
      </c>
      <c r="J3" s="7" t="s">
        <v>62</v>
      </c>
      <c r="K3" s="7" t="s">
        <v>63</v>
      </c>
      <c r="L3" s="7" t="s">
        <v>64</v>
      </c>
      <c r="M3" s="7" t="s">
        <v>65</v>
      </c>
    </row>
    <row r="4" customFormat="false" ht="15" hidden="false" customHeight="false" outlineLevel="0" collapsed="false">
      <c r="A4" s="7" t="n">
        <v>3</v>
      </c>
      <c r="B4" s="12" t="s">
        <v>12</v>
      </c>
      <c r="C4" s="7" t="s">
        <v>66</v>
      </c>
      <c r="D4" s="7" t="s">
        <v>67</v>
      </c>
      <c r="E4" s="7" t="s">
        <v>68</v>
      </c>
      <c r="F4" s="7" t="s">
        <v>69</v>
      </c>
      <c r="G4" s="7" t="s">
        <v>70</v>
      </c>
      <c r="H4" s="7" t="s">
        <v>71</v>
      </c>
      <c r="I4" s="7" t="s">
        <v>72</v>
      </c>
      <c r="J4" s="7" t="s">
        <v>73</v>
      </c>
      <c r="K4" s="7" t="s">
        <v>74</v>
      </c>
      <c r="L4" s="7" t="s">
        <v>75</v>
      </c>
      <c r="M4" s="7" t="s">
        <v>76</v>
      </c>
    </row>
    <row r="5" customFormat="false" ht="15" hidden="false" customHeight="false" outlineLevel="0" collapsed="false">
      <c r="A5" s="7" t="n">
        <v>4</v>
      </c>
      <c r="B5" s="12" t="s">
        <v>12</v>
      </c>
      <c r="C5" s="7" t="s">
        <v>77</v>
      </c>
      <c r="D5" s="7" t="s">
        <v>78</v>
      </c>
      <c r="E5" s="7" t="s">
        <v>79</v>
      </c>
      <c r="F5" s="7" t="s">
        <v>80</v>
      </c>
      <c r="G5" s="7" t="s">
        <v>81</v>
      </c>
      <c r="H5" s="7" t="s">
        <v>82</v>
      </c>
      <c r="I5" s="7" t="s">
        <v>83</v>
      </c>
      <c r="J5" s="7" t="s">
        <v>84</v>
      </c>
      <c r="K5" s="7" t="s">
        <v>85</v>
      </c>
      <c r="L5" s="7" t="s">
        <v>86</v>
      </c>
      <c r="M5" s="7" t="s">
        <v>87</v>
      </c>
    </row>
    <row r="6" customFormat="false" ht="15" hidden="false" customHeight="false" outlineLevel="0" collapsed="false">
      <c r="A6" s="7" t="n">
        <v>5</v>
      </c>
      <c r="B6" s="12" t="s">
        <v>12</v>
      </c>
      <c r="C6" s="7" t="s">
        <v>88</v>
      </c>
      <c r="D6" s="7" t="s">
        <v>78</v>
      </c>
      <c r="E6" s="7" t="s">
        <v>89</v>
      </c>
      <c r="F6" s="7" t="s">
        <v>80</v>
      </c>
      <c r="G6" s="7" t="s">
        <v>81</v>
      </c>
      <c r="H6" s="7" t="s">
        <v>82</v>
      </c>
      <c r="I6" s="7" t="s">
        <v>90</v>
      </c>
      <c r="J6" s="7" t="s">
        <v>91</v>
      </c>
      <c r="K6" s="7" t="s">
        <v>92</v>
      </c>
      <c r="L6" s="7" t="s">
        <v>86</v>
      </c>
      <c r="M6" s="7" t="s">
        <v>93</v>
      </c>
    </row>
    <row r="7" customFormat="false" ht="15" hidden="false" customHeight="false" outlineLevel="0" collapsed="false">
      <c r="A7" s="7" t="n">
        <v>6</v>
      </c>
      <c r="B7" s="12" t="s">
        <v>12</v>
      </c>
      <c r="C7" s="7" t="s">
        <v>94</v>
      </c>
      <c r="D7" s="7" t="s">
        <v>78</v>
      </c>
      <c r="E7" s="7" t="s">
        <v>95</v>
      </c>
      <c r="F7" s="7" t="s">
        <v>80</v>
      </c>
      <c r="G7" s="7" t="s">
        <v>81</v>
      </c>
      <c r="H7" s="7" t="s">
        <v>82</v>
      </c>
      <c r="I7" s="7" t="s">
        <v>90</v>
      </c>
      <c r="J7" s="7" t="s">
        <v>96</v>
      </c>
      <c r="K7" s="7" t="s">
        <v>97</v>
      </c>
      <c r="L7" s="7" t="s">
        <v>86</v>
      </c>
      <c r="M7" s="7" t="s">
        <v>98</v>
      </c>
    </row>
    <row r="8" customFormat="false" ht="15" hidden="false" customHeight="false" outlineLevel="0" collapsed="false">
      <c r="A8" s="7" t="n">
        <v>7</v>
      </c>
      <c r="B8" s="12" t="s">
        <v>12</v>
      </c>
      <c r="C8" s="7" t="s">
        <v>99</v>
      </c>
      <c r="D8" s="7" t="s">
        <v>78</v>
      </c>
      <c r="E8" s="7" t="s">
        <v>100</v>
      </c>
      <c r="F8" s="7" t="s">
        <v>80</v>
      </c>
      <c r="G8" s="7" t="s">
        <v>81</v>
      </c>
      <c r="H8" s="7" t="s">
        <v>82</v>
      </c>
      <c r="I8" s="7" t="s">
        <v>90</v>
      </c>
      <c r="J8" s="7" t="s">
        <v>101</v>
      </c>
      <c r="K8" s="7" t="s">
        <v>102</v>
      </c>
      <c r="L8" s="7" t="s">
        <v>86</v>
      </c>
      <c r="M8" s="7" t="s">
        <v>103</v>
      </c>
    </row>
    <row r="9" customFormat="false" ht="15" hidden="false" customHeight="false" outlineLevel="0" collapsed="false">
      <c r="A9" s="7" t="n">
        <v>8</v>
      </c>
      <c r="B9" s="12" t="s">
        <v>12</v>
      </c>
      <c r="C9" s="7" t="s">
        <v>104</v>
      </c>
      <c r="D9" s="7" t="s">
        <v>78</v>
      </c>
      <c r="E9" s="7" t="s">
        <v>79</v>
      </c>
      <c r="F9" s="7" t="s">
        <v>80</v>
      </c>
      <c r="G9" s="7" t="s">
        <v>105</v>
      </c>
      <c r="H9" s="7" t="s">
        <v>106</v>
      </c>
      <c r="I9" s="7" t="s">
        <v>107</v>
      </c>
      <c r="J9" s="7" t="s">
        <v>108</v>
      </c>
      <c r="K9" s="7" t="s">
        <v>109</v>
      </c>
      <c r="L9" s="7" t="s">
        <v>86</v>
      </c>
      <c r="M9" s="7" t="s">
        <v>110</v>
      </c>
    </row>
    <row r="10" customFormat="false" ht="15" hidden="false" customHeight="false" outlineLevel="0" collapsed="false">
      <c r="A10" s="7" t="n">
        <v>9</v>
      </c>
      <c r="B10" s="12" t="s">
        <v>12</v>
      </c>
      <c r="C10" s="7" t="s">
        <v>111</v>
      </c>
      <c r="D10" s="7" t="s">
        <v>112</v>
      </c>
      <c r="E10" s="7" t="s">
        <v>113</v>
      </c>
      <c r="F10" s="7" t="s">
        <v>80</v>
      </c>
      <c r="G10" s="7" t="s">
        <v>114</v>
      </c>
      <c r="H10" s="7" t="s">
        <v>115</v>
      </c>
      <c r="I10" s="7" t="s">
        <v>90</v>
      </c>
      <c r="J10" s="7" t="s">
        <v>116</v>
      </c>
      <c r="K10" s="7" t="s">
        <v>117</v>
      </c>
      <c r="L10" s="7" t="s">
        <v>86</v>
      </c>
      <c r="M10" s="7" t="s">
        <v>118</v>
      </c>
    </row>
    <row r="11" customFormat="false" ht="15" hidden="false" customHeight="false" outlineLevel="0" collapsed="false">
      <c r="A11" s="7" t="n">
        <v>10</v>
      </c>
      <c r="B11" s="12" t="s">
        <v>12</v>
      </c>
      <c r="C11" s="7" t="s">
        <v>119</v>
      </c>
      <c r="D11" s="7" t="s">
        <v>120</v>
      </c>
      <c r="E11" s="7" t="s">
        <v>121</v>
      </c>
      <c r="F11" s="7" t="s">
        <v>122</v>
      </c>
      <c r="G11" s="7" t="s">
        <v>123</v>
      </c>
      <c r="H11" s="7" t="s">
        <v>124</v>
      </c>
      <c r="I11" s="7" t="s">
        <v>125</v>
      </c>
      <c r="J11" s="7" t="s">
        <v>126</v>
      </c>
      <c r="K11" s="7" t="s">
        <v>127</v>
      </c>
      <c r="L11" s="7" t="s">
        <v>128</v>
      </c>
      <c r="M11" s="7" t="s">
        <v>129</v>
      </c>
    </row>
    <row r="12" customFormat="false" ht="15" hidden="false" customHeight="false" outlineLevel="0" collapsed="false">
      <c r="A12" s="7" t="n">
        <v>11</v>
      </c>
      <c r="B12" s="12" t="s">
        <v>12</v>
      </c>
      <c r="C12" s="7" t="s">
        <v>130</v>
      </c>
      <c r="D12" s="7" t="s">
        <v>56</v>
      </c>
      <c r="E12" s="7" t="s">
        <v>131</v>
      </c>
      <c r="F12" s="7" t="s">
        <v>132</v>
      </c>
      <c r="G12" s="7" t="s">
        <v>133</v>
      </c>
      <c r="H12" s="7" t="s">
        <v>134</v>
      </c>
      <c r="I12" s="7" t="s">
        <v>135</v>
      </c>
      <c r="J12" s="7" t="s">
        <v>136</v>
      </c>
      <c r="K12" s="7" t="s">
        <v>137</v>
      </c>
      <c r="L12" s="7" t="s">
        <v>138</v>
      </c>
      <c r="M12" s="7" t="s">
        <v>139</v>
      </c>
    </row>
    <row r="13" customFormat="false" ht="15" hidden="false" customHeight="false" outlineLevel="0" collapsed="false">
      <c r="A13" s="7" t="n">
        <v>12</v>
      </c>
      <c r="B13" s="12" t="s">
        <v>12</v>
      </c>
      <c r="C13" s="7" t="s">
        <v>140</v>
      </c>
      <c r="D13" s="7" t="s">
        <v>67</v>
      </c>
      <c r="E13" s="7" t="s">
        <v>141</v>
      </c>
      <c r="F13" s="7" t="s">
        <v>142</v>
      </c>
      <c r="G13" s="7" t="s">
        <v>143</v>
      </c>
      <c r="H13" s="7" t="s">
        <v>144</v>
      </c>
      <c r="I13" s="7" t="s">
        <v>145</v>
      </c>
      <c r="J13" s="7" t="s">
        <v>146</v>
      </c>
      <c r="K13" s="7" t="s">
        <v>147</v>
      </c>
      <c r="L13" s="7" t="s">
        <v>148</v>
      </c>
      <c r="M13" s="7" t="s">
        <v>149</v>
      </c>
    </row>
    <row r="14" customFormat="false" ht="15" hidden="false" customHeight="false" outlineLevel="0" collapsed="false">
      <c r="A14" s="7" t="n">
        <v>13</v>
      </c>
      <c r="B14" s="12" t="s">
        <v>12</v>
      </c>
      <c r="C14" s="7" t="s">
        <v>150</v>
      </c>
      <c r="D14" s="7" t="s">
        <v>120</v>
      </c>
      <c r="E14" s="7" t="s">
        <v>151</v>
      </c>
      <c r="F14" s="7" t="s">
        <v>152</v>
      </c>
      <c r="G14" s="7" t="s">
        <v>153</v>
      </c>
      <c r="H14" s="7" t="s">
        <v>154</v>
      </c>
      <c r="I14" s="7" t="s">
        <v>155</v>
      </c>
      <c r="J14" s="7" t="s">
        <v>156</v>
      </c>
      <c r="K14" s="7" t="s">
        <v>157</v>
      </c>
      <c r="L14" s="7" t="s">
        <v>158</v>
      </c>
      <c r="M14" s="7" t="s">
        <v>159</v>
      </c>
    </row>
    <row r="15" customFormat="false" ht="15" hidden="false" customHeight="false" outlineLevel="0" collapsed="false">
      <c r="A15" s="7" t="n">
        <v>14</v>
      </c>
      <c r="B15" s="12" t="s">
        <v>12</v>
      </c>
      <c r="C15" s="7" t="s">
        <v>160</v>
      </c>
      <c r="D15" s="7" t="s">
        <v>161</v>
      </c>
      <c r="E15" s="7" t="s">
        <v>162</v>
      </c>
      <c r="F15" s="7" t="s">
        <v>163</v>
      </c>
      <c r="G15" s="7" t="s">
        <v>164</v>
      </c>
      <c r="H15" s="7" t="s">
        <v>165</v>
      </c>
      <c r="I15" s="7" t="s">
        <v>166</v>
      </c>
      <c r="J15" s="7" t="s">
        <v>167</v>
      </c>
      <c r="K15" s="7" t="s">
        <v>168</v>
      </c>
      <c r="L15" s="7" t="s">
        <v>169</v>
      </c>
      <c r="M15" s="7" t="s">
        <v>170</v>
      </c>
    </row>
    <row r="16" customFormat="false" ht="15" hidden="false" customHeight="false" outlineLevel="0" collapsed="false">
      <c r="A16" s="7" t="n">
        <v>15</v>
      </c>
      <c r="B16" s="13" t="s">
        <v>14</v>
      </c>
      <c r="C16" s="7" t="s">
        <v>171</v>
      </c>
      <c r="D16" s="7" t="s">
        <v>172</v>
      </c>
      <c r="E16" s="7" t="s">
        <v>173</v>
      </c>
      <c r="F16" s="7" t="s">
        <v>174</v>
      </c>
      <c r="G16" s="7" t="s">
        <v>175</v>
      </c>
      <c r="H16" s="7" t="s">
        <v>176</v>
      </c>
      <c r="I16" s="7" t="s">
        <v>177</v>
      </c>
      <c r="J16" s="7" t="s">
        <v>178</v>
      </c>
      <c r="K16" s="7" t="s">
        <v>179</v>
      </c>
      <c r="L16" s="7" t="s">
        <v>180</v>
      </c>
      <c r="M16" s="7" t="s">
        <v>181</v>
      </c>
    </row>
    <row r="17" customFormat="false" ht="15" hidden="false" customHeight="false" outlineLevel="0" collapsed="false">
      <c r="A17" s="7" t="n">
        <v>16</v>
      </c>
      <c r="B17" s="13" t="s">
        <v>14</v>
      </c>
      <c r="C17" s="7" t="s">
        <v>182</v>
      </c>
      <c r="D17" s="7" t="s">
        <v>183</v>
      </c>
      <c r="E17" s="7" t="s">
        <v>184</v>
      </c>
      <c r="F17" s="7" t="s">
        <v>174</v>
      </c>
      <c r="G17" s="7" t="s">
        <v>185</v>
      </c>
      <c r="H17" s="7" t="s">
        <v>186</v>
      </c>
      <c r="I17" s="7" t="s">
        <v>187</v>
      </c>
      <c r="J17" s="7" t="s">
        <v>188</v>
      </c>
      <c r="K17" s="7" t="s">
        <v>189</v>
      </c>
      <c r="L17" s="7" t="s">
        <v>190</v>
      </c>
      <c r="M17" s="7" t="s">
        <v>191</v>
      </c>
    </row>
    <row r="18" customFormat="false" ht="15" hidden="false" customHeight="false" outlineLevel="0" collapsed="false">
      <c r="A18" s="7" t="n">
        <v>17</v>
      </c>
      <c r="B18" s="13" t="s">
        <v>14</v>
      </c>
      <c r="C18" s="7" t="s">
        <v>192</v>
      </c>
      <c r="D18" s="7" t="s">
        <v>183</v>
      </c>
      <c r="E18" s="7" t="s">
        <v>193</v>
      </c>
      <c r="F18" s="7" t="s">
        <v>47</v>
      </c>
      <c r="G18" s="7" t="s">
        <v>194</v>
      </c>
      <c r="H18" s="7" t="s">
        <v>195</v>
      </c>
      <c r="I18" s="7" t="s">
        <v>196</v>
      </c>
      <c r="J18" s="7" t="s">
        <v>197</v>
      </c>
      <c r="K18" s="7" t="s">
        <v>198</v>
      </c>
      <c r="L18" s="7" t="s">
        <v>199</v>
      </c>
      <c r="M18" s="7" t="s">
        <v>200</v>
      </c>
    </row>
    <row r="19" customFormat="false" ht="15" hidden="false" customHeight="false" outlineLevel="0" collapsed="false">
      <c r="A19" s="7" t="n">
        <v>18</v>
      </c>
      <c r="B19" s="13" t="s">
        <v>14</v>
      </c>
      <c r="C19" s="7" t="s">
        <v>201</v>
      </c>
      <c r="D19" s="7" t="s">
        <v>202</v>
      </c>
      <c r="E19" s="7" t="s">
        <v>203</v>
      </c>
      <c r="F19" s="7" t="s">
        <v>47</v>
      </c>
      <c r="G19" s="7" t="s">
        <v>204</v>
      </c>
      <c r="H19" s="7" t="s">
        <v>205</v>
      </c>
      <c r="I19" s="7" t="s">
        <v>206</v>
      </c>
      <c r="J19" s="7" t="s">
        <v>207</v>
      </c>
      <c r="K19" s="7" t="s">
        <v>208</v>
      </c>
      <c r="L19" s="7" t="s">
        <v>209</v>
      </c>
      <c r="M19" s="7" t="s">
        <v>210</v>
      </c>
    </row>
    <row r="20" customFormat="false" ht="15" hidden="false" customHeight="false" outlineLevel="0" collapsed="false">
      <c r="A20" s="7" t="n">
        <v>19</v>
      </c>
      <c r="B20" s="13" t="s">
        <v>14</v>
      </c>
      <c r="C20" s="7" t="s">
        <v>211</v>
      </c>
      <c r="D20" s="7" t="s">
        <v>202</v>
      </c>
      <c r="E20" s="7" t="s">
        <v>68</v>
      </c>
      <c r="F20" s="7" t="s">
        <v>47</v>
      </c>
      <c r="G20" s="7" t="s">
        <v>212</v>
      </c>
      <c r="H20" s="7" t="s">
        <v>213</v>
      </c>
      <c r="I20" s="7" t="s">
        <v>214</v>
      </c>
      <c r="J20" s="7" t="s">
        <v>215</v>
      </c>
      <c r="K20" s="7" t="s">
        <v>216</v>
      </c>
      <c r="L20" s="7" t="s">
        <v>75</v>
      </c>
      <c r="M20" s="7" t="s">
        <v>217</v>
      </c>
    </row>
    <row r="21" customFormat="false" ht="15" hidden="false" customHeight="false" outlineLevel="0" collapsed="false">
      <c r="A21" s="7" t="n">
        <v>20</v>
      </c>
      <c r="B21" s="13" t="s">
        <v>14</v>
      </c>
      <c r="C21" s="7" t="s">
        <v>218</v>
      </c>
      <c r="D21" s="7" t="s">
        <v>202</v>
      </c>
      <c r="E21" s="7" t="s">
        <v>219</v>
      </c>
      <c r="F21" s="7" t="s">
        <v>142</v>
      </c>
      <c r="G21" s="7" t="s">
        <v>220</v>
      </c>
      <c r="H21" s="7" t="s">
        <v>221</v>
      </c>
      <c r="I21" s="7" t="s">
        <v>222</v>
      </c>
      <c r="J21" s="7" t="s">
        <v>223</v>
      </c>
      <c r="K21" s="7" t="s">
        <v>224</v>
      </c>
      <c r="L21" s="7" t="s">
        <v>225</v>
      </c>
      <c r="M21" s="7" t="s">
        <v>226</v>
      </c>
    </row>
    <row r="22" customFormat="false" ht="15" hidden="false" customHeight="false" outlineLevel="0" collapsed="false">
      <c r="A22" s="7" t="n">
        <v>21</v>
      </c>
      <c r="B22" s="13" t="s">
        <v>14</v>
      </c>
      <c r="C22" s="7" t="s">
        <v>227</v>
      </c>
      <c r="D22" s="7" t="s">
        <v>183</v>
      </c>
      <c r="E22" s="7" t="s">
        <v>228</v>
      </c>
      <c r="F22" s="7" t="s">
        <v>47</v>
      </c>
      <c r="G22" s="7" t="s">
        <v>229</v>
      </c>
      <c r="H22" s="7" t="s">
        <v>230</v>
      </c>
      <c r="I22" s="7" t="s">
        <v>231</v>
      </c>
      <c r="J22" s="7" t="s">
        <v>232</v>
      </c>
      <c r="K22" s="7" t="s">
        <v>233</v>
      </c>
      <c r="L22" s="7" t="s">
        <v>234</v>
      </c>
      <c r="M22" s="7" t="s">
        <v>235</v>
      </c>
    </row>
    <row r="23" customFormat="false" ht="15" hidden="false" customHeight="false" outlineLevel="0" collapsed="false">
      <c r="A23" s="7" t="n">
        <v>22</v>
      </c>
      <c r="B23" s="13" t="s">
        <v>14</v>
      </c>
      <c r="C23" s="7" t="s">
        <v>236</v>
      </c>
      <c r="D23" s="7" t="s">
        <v>202</v>
      </c>
      <c r="E23" s="7" t="s">
        <v>141</v>
      </c>
      <c r="F23" s="7" t="s">
        <v>47</v>
      </c>
      <c r="G23" s="7" t="s">
        <v>237</v>
      </c>
      <c r="H23" s="7" t="s">
        <v>238</v>
      </c>
      <c r="I23" s="7" t="s">
        <v>239</v>
      </c>
      <c r="J23" s="7" t="s">
        <v>240</v>
      </c>
      <c r="K23" s="7" t="s">
        <v>241</v>
      </c>
      <c r="L23" s="7" t="s">
        <v>209</v>
      </c>
      <c r="M23" s="7" t="s">
        <v>242</v>
      </c>
    </row>
    <row r="24" customFormat="false" ht="15" hidden="false" customHeight="false" outlineLevel="0" collapsed="false">
      <c r="A24" s="7" t="n">
        <v>23</v>
      </c>
      <c r="B24" s="13" t="s">
        <v>14</v>
      </c>
      <c r="C24" s="7" t="s">
        <v>243</v>
      </c>
      <c r="D24" s="7" t="s">
        <v>183</v>
      </c>
      <c r="E24" s="7" t="s">
        <v>244</v>
      </c>
      <c r="F24" s="7" t="s">
        <v>245</v>
      </c>
      <c r="G24" s="7" t="s">
        <v>246</v>
      </c>
      <c r="H24" s="7" t="s">
        <v>247</v>
      </c>
      <c r="I24" s="7" t="s">
        <v>248</v>
      </c>
      <c r="J24" s="7" t="s">
        <v>249</v>
      </c>
      <c r="K24" s="7" t="s">
        <v>250</v>
      </c>
      <c r="L24" s="7" t="s">
        <v>251</v>
      </c>
      <c r="M24" s="7" t="s">
        <v>252</v>
      </c>
    </row>
    <row r="25" customFormat="false" ht="15" hidden="false" customHeight="false" outlineLevel="0" collapsed="false">
      <c r="A25" s="7" t="n">
        <v>24</v>
      </c>
      <c r="B25" s="13" t="s">
        <v>14</v>
      </c>
      <c r="C25" s="7" t="s">
        <v>253</v>
      </c>
      <c r="D25" s="7" t="s">
        <v>183</v>
      </c>
      <c r="E25" s="7" t="s">
        <v>254</v>
      </c>
      <c r="F25" s="7" t="s">
        <v>255</v>
      </c>
      <c r="G25" s="7" t="s">
        <v>256</v>
      </c>
      <c r="H25" s="7" t="s">
        <v>247</v>
      </c>
      <c r="I25" s="7" t="s">
        <v>257</v>
      </c>
      <c r="J25" s="7" t="s">
        <v>258</v>
      </c>
      <c r="K25" s="7" t="s">
        <v>259</v>
      </c>
      <c r="L25" s="7" t="s">
        <v>251</v>
      </c>
      <c r="M25" s="7" t="s">
        <v>260</v>
      </c>
    </row>
    <row r="26" customFormat="false" ht="15" hidden="false" customHeight="false" outlineLevel="0" collapsed="false">
      <c r="A26" s="7" t="n">
        <v>25</v>
      </c>
      <c r="B26" s="13" t="s">
        <v>14</v>
      </c>
      <c r="C26" s="7" t="s">
        <v>261</v>
      </c>
      <c r="D26" s="7" t="s">
        <v>262</v>
      </c>
      <c r="E26" s="7" t="s">
        <v>263</v>
      </c>
      <c r="F26" s="7" t="s">
        <v>264</v>
      </c>
      <c r="G26" s="7" t="s">
        <v>265</v>
      </c>
      <c r="H26" s="7" t="s">
        <v>266</v>
      </c>
      <c r="I26" s="7" t="s">
        <v>267</v>
      </c>
      <c r="J26" s="7" t="s">
        <v>268</v>
      </c>
      <c r="K26" s="7" t="s">
        <v>269</v>
      </c>
      <c r="L26" s="7" t="s">
        <v>270</v>
      </c>
      <c r="M26" s="7" t="s">
        <v>271</v>
      </c>
    </row>
    <row r="27" customFormat="false" ht="15" hidden="false" customHeight="false" outlineLevel="0" collapsed="false">
      <c r="A27" s="7" t="n">
        <v>26</v>
      </c>
      <c r="B27" s="13" t="s">
        <v>14</v>
      </c>
      <c r="C27" s="7" t="s">
        <v>272</v>
      </c>
      <c r="D27" s="7" t="s">
        <v>202</v>
      </c>
      <c r="E27" s="7" t="s">
        <v>273</v>
      </c>
      <c r="F27" s="7" t="s">
        <v>274</v>
      </c>
      <c r="G27" s="7" t="s">
        <v>275</v>
      </c>
      <c r="H27" s="7" t="s">
        <v>276</v>
      </c>
      <c r="I27" s="7" t="s">
        <v>277</v>
      </c>
      <c r="J27" s="7" t="s">
        <v>278</v>
      </c>
      <c r="K27" s="7" t="s">
        <v>279</v>
      </c>
      <c r="L27" s="7" t="s">
        <v>280</v>
      </c>
      <c r="M27" s="7" t="s">
        <v>281</v>
      </c>
    </row>
    <row r="28" customFormat="false" ht="15" hidden="false" customHeight="false" outlineLevel="0" collapsed="false">
      <c r="A28" s="7" t="n">
        <v>27</v>
      </c>
      <c r="B28" s="13" t="s">
        <v>14</v>
      </c>
      <c r="C28" s="7" t="s">
        <v>282</v>
      </c>
      <c r="D28" s="7" t="s">
        <v>183</v>
      </c>
      <c r="E28" s="7" t="s">
        <v>283</v>
      </c>
      <c r="F28" s="7" t="s">
        <v>284</v>
      </c>
      <c r="G28" s="7" t="s">
        <v>285</v>
      </c>
      <c r="H28" s="7" t="s">
        <v>286</v>
      </c>
      <c r="I28" s="7" t="s">
        <v>287</v>
      </c>
      <c r="J28" s="7" t="s">
        <v>288</v>
      </c>
      <c r="K28" s="7" t="s">
        <v>289</v>
      </c>
      <c r="L28" s="7" t="s">
        <v>251</v>
      </c>
      <c r="M28" s="7" t="s">
        <v>290</v>
      </c>
    </row>
    <row r="29" customFormat="false" ht="15" hidden="false" customHeight="false" outlineLevel="0" collapsed="false">
      <c r="A29" s="7" t="n">
        <v>28</v>
      </c>
      <c r="B29" s="13" t="s">
        <v>14</v>
      </c>
      <c r="C29" s="7" t="s">
        <v>291</v>
      </c>
      <c r="D29" s="7" t="s">
        <v>292</v>
      </c>
      <c r="E29" s="7" t="s">
        <v>46</v>
      </c>
      <c r="F29" s="7" t="s">
        <v>293</v>
      </c>
      <c r="G29" s="7" t="s">
        <v>294</v>
      </c>
      <c r="H29" s="7" t="s">
        <v>295</v>
      </c>
      <c r="I29" s="7" t="s">
        <v>296</v>
      </c>
      <c r="J29" s="7" t="s">
        <v>297</v>
      </c>
      <c r="K29" s="7" t="s">
        <v>298</v>
      </c>
      <c r="L29" s="7" t="s">
        <v>299</v>
      </c>
      <c r="M29" s="7" t="s">
        <v>300</v>
      </c>
    </row>
    <row r="30" customFormat="false" ht="15" hidden="false" customHeight="false" outlineLevel="0" collapsed="false">
      <c r="A30" s="7" t="n">
        <v>29</v>
      </c>
      <c r="B30" s="13" t="s">
        <v>14</v>
      </c>
      <c r="C30" s="7" t="s">
        <v>301</v>
      </c>
      <c r="D30" s="7" t="s">
        <v>183</v>
      </c>
      <c r="E30" s="7" t="s">
        <v>302</v>
      </c>
      <c r="F30" s="7" t="s">
        <v>303</v>
      </c>
      <c r="G30" s="7" t="s">
        <v>304</v>
      </c>
      <c r="H30" s="7" t="s">
        <v>305</v>
      </c>
      <c r="I30" s="7" t="s">
        <v>306</v>
      </c>
      <c r="J30" s="7" t="s">
        <v>307</v>
      </c>
      <c r="K30" s="7" t="s">
        <v>308</v>
      </c>
      <c r="L30" s="7" t="s">
        <v>209</v>
      </c>
      <c r="M30" s="7" t="s">
        <v>309</v>
      </c>
    </row>
    <row r="31" customFormat="false" ht="15" hidden="false" customHeight="false" outlineLevel="0" collapsed="false">
      <c r="A31" s="7" t="n">
        <v>30</v>
      </c>
      <c r="B31" s="14" t="s">
        <v>16</v>
      </c>
      <c r="C31" s="7" t="s">
        <v>310</v>
      </c>
      <c r="D31" s="7" t="s">
        <v>311</v>
      </c>
      <c r="E31" s="7" t="s">
        <v>312</v>
      </c>
      <c r="F31" s="7" t="s">
        <v>313</v>
      </c>
      <c r="G31" s="7" t="s">
        <v>314</v>
      </c>
      <c r="H31" s="7" t="s">
        <v>315</v>
      </c>
      <c r="I31" s="7" t="s">
        <v>316</v>
      </c>
      <c r="J31" s="7" t="s">
        <v>317</v>
      </c>
      <c r="K31" s="7" t="s">
        <v>318</v>
      </c>
      <c r="L31" s="7" t="s">
        <v>319</v>
      </c>
      <c r="M31" s="7" t="s">
        <v>320</v>
      </c>
    </row>
    <row r="32" customFormat="false" ht="15" hidden="false" customHeight="false" outlineLevel="0" collapsed="false">
      <c r="A32" s="7" t="n">
        <v>31</v>
      </c>
      <c r="B32" s="14" t="s">
        <v>16</v>
      </c>
      <c r="C32" s="7" t="s">
        <v>321</v>
      </c>
      <c r="D32" s="7" t="s">
        <v>120</v>
      </c>
      <c r="E32" s="7" t="s">
        <v>322</v>
      </c>
      <c r="F32" s="7" t="s">
        <v>323</v>
      </c>
      <c r="G32" s="7" t="s">
        <v>324</v>
      </c>
      <c r="H32" s="7" t="s">
        <v>325</v>
      </c>
      <c r="I32" s="7" t="s">
        <v>326</v>
      </c>
      <c r="J32" s="7" t="s">
        <v>327</v>
      </c>
      <c r="K32" s="7" t="s">
        <v>328</v>
      </c>
      <c r="L32" s="7" t="s">
        <v>329</v>
      </c>
      <c r="M32" s="7" t="s">
        <v>330</v>
      </c>
    </row>
    <row r="33" customFormat="false" ht="15" hidden="false" customHeight="false" outlineLevel="0" collapsed="false">
      <c r="A33" s="7" t="n">
        <v>32</v>
      </c>
      <c r="B33" s="14" t="s">
        <v>16</v>
      </c>
      <c r="C33" s="7" t="s">
        <v>331</v>
      </c>
      <c r="D33" s="7" t="s">
        <v>45</v>
      </c>
      <c r="E33" s="7" t="s">
        <v>46</v>
      </c>
      <c r="F33" s="7" t="s">
        <v>47</v>
      </c>
      <c r="G33" s="7" t="s">
        <v>332</v>
      </c>
      <c r="H33" s="7" t="s">
        <v>49</v>
      </c>
      <c r="I33" s="7" t="s">
        <v>333</v>
      </c>
      <c r="J33" s="7" t="s">
        <v>334</v>
      </c>
      <c r="K33" s="7" t="s">
        <v>335</v>
      </c>
      <c r="L33" s="7" t="s">
        <v>53</v>
      </c>
      <c r="M33" s="7" t="s">
        <v>336</v>
      </c>
    </row>
    <row r="34" customFormat="false" ht="15" hidden="false" customHeight="false" outlineLevel="0" collapsed="false">
      <c r="A34" s="7" t="n">
        <v>33</v>
      </c>
      <c r="B34" s="14" t="s">
        <v>16</v>
      </c>
      <c r="C34" s="7" t="s">
        <v>337</v>
      </c>
      <c r="D34" s="7" t="s">
        <v>338</v>
      </c>
      <c r="E34" s="7" t="s">
        <v>312</v>
      </c>
      <c r="F34" s="7" t="s">
        <v>339</v>
      </c>
      <c r="G34" s="7" t="s">
        <v>340</v>
      </c>
      <c r="H34" s="7" t="s">
        <v>341</v>
      </c>
      <c r="I34" s="7" t="s">
        <v>342</v>
      </c>
      <c r="J34" s="7" t="s">
        <v>343</v>
      </c>
      <c r="K34" s="7" t="s">
        <v>344</v>
      </c>
      <c r="L34" s="7" t="s">
        <v>345</v>
      </c>
      <c r="M34" s="7" t="s">
        <v>346</v>
      </c>
    </row>
    <row r="35" customFormat="false" ht="15" hidden="false" customHeight="false" outlineLevel="0" collapsed="false">
      <c r="A35" s="7" t="n">
        <v>34</v>
      </c>
      <c r="B35" s="14" t="s">
        <v>16</v>
      </c>
      <c r="C35" s="7" t="s">
        <v>347</v>
      </c>
      <c r="D35" s="7" t="s">
        <v>348</v>
      </c>
      <c r="E35" s="7" t="s">
        <v>349</v>
      </c>
      <c r="F35" s="7" t="s">
        <v>350</v>
      </c>
      <c r="G35" s="7" t="s">
        <v>351</v>
      </c>
      <c r="H35" s="7" t="s">
        <v>352</v>
      </c>
      <c r="I35" s="7" t="s">
        <v>353</v>
      </c>
      <c r="J35" s="7" t="s">
        <v>354</v>
      </c>
      <c r="K35" s="7" t="s">
        <v>355</v>
      </c>
      <c r="L35" s="7" t="s">
        <v>329</v>
      </c>
      <c r="M35" s="7" t="s">
        <v>356</v>
      </c>
    </row>
    <row r="36" customFormat="false" ht="15" hidden="false" customHeight="false" outlineLevel="0" collapsed="false">
      <c r="A36" s="7" t="n">
        <v>35</v>
      </c>
      <c r="B36" s="14" t="s">
        <v>16</v>
      </c>
      <c r="C36" s="7" t="s">
        <v>357</v>
      </c>
      <c r="D36" s="7" t="s">
        <v>358</v>
      </c>
      <c r="E36" s="7" t="s">
        <v>359</v>
      </c>
      <c r="F36" s="7" t="s">
        <v>360</v>
      </c>
      <c r="G36" s="7" t="s">
        <v>361</v>
      </c>
      <c r="H36" s="7" t="s">
        <v>362</v>
      </c>
      <c r="I36" s="7" t="s">
        <v>363</v>
      </c>
      <c r="J36" s="7" t="s">
        <v>364</v>
      </c>
      <c r="K36" s="7" t="s">
        <v>365</v>
      </c>
      <c r="L36" s="7" t="s">
        <v>366</v>
      </c>
      <c r="M36" s="7" t="s">
        <v>367</v>
      </c>
    </row>
    <row r="37" customFormat="false" ht="15" hidden="false" customHeight="false" outlineLevel="0" collapsed="false">
      <c r="A37" s="7" t="n">
        <v>36</v>
      </c>
      <c r="B37" s="14" t="s">
        <v>16</v>
      </c>
      <c r="C37" s="7" t="s">
        <v>368</v>
      </c>
      <c r="D37" s="7" t="s">
        <v>67</v>
      </c>
      <c r="E37" s="7" t="s">
        <v>369</v>
      </c>
      <c r="F37" s="7" t="s">
        <v>370</v>
      </c>
      <c r="G37" s="7" t="s">
        <v>371</v>
      </c>
      <c r="H37" s="7" t="s">
        <v>372</v>
      </c>
      <c r="I37" s="7" t="s">
        <v>373</v>
      </c>
      <c r="J37" s="7" t="s">
        <v>374</v>
      </c>
      <c r="K37" s="7" t="s">
        <v>375</v>
      </c>
      <c r="L37" s="7" t="s">
        <v>376</v>
      </c>
      <c r="M37" s="7" t="s">
        <v>377</v>
      </c>
    </row>
    <row r="38" customFormat="false" ht="15" hidden="false" customHeight="false" outlineLevel="0" collapsed="false">
      <c r="A38" s="7" t="n">
        <v>37</v>
      </c>
      <c r="B38" s="14" t="s">
        <v>16</v>
      </c>
      <c r="C38" s="7" t="s">
        <v>378</v>
      </c>
      <c r="D38" s="7" t="s">
        <v>379</v>
      </c>
      <c r="E38" s="7" t="s">
        <v>380</v>
      </c>
      <c r="F38" s="7" t="s">
        <v>381</v>
      </c>
      <c r="G38" s="7" t="s">
        <v>382</v>
      </c>
      <c r="H38" s="7" t="s">
        <v>383</v>
      </c>
      <c r="I38" s="7" t="s">
        <v>384</v>
      </c>
      <c r="J38" s="7" t="s">
        <v>385</v>
      </c>
      <c r="K38" s="7" t="s">
        <v>386</v>
      </c>
      <c r="L38" s="7" t="s">
        <v>387</v>
      </c>
      <c r="M38" s="7" t="s">
        <v>388</v>
      </c>
    </row>
    <row r="39" customFormat="false" ht="15" hidden="false" customHeight="false" outlineLevel="0" collapsed="false">
      <c r="A39" s="7" t="n">
        <v>38</v>
      </c>
      <c r="B39" s="14" t="s">
        <v>16</v>
      </c>
      <c r="C39" s="7" t="s">
        <v>389</v>
      </c>
      <c r="D39" s="7" t="s">
        <v>56</v>
      </c>
      <c r="E39" s="7" t="s">
        <v>390</v>
      </c>
      <c r="F39" s="7" t="s">
        <v>391</v>
      </c>
      <c r="G39" s="7" t="s">
        <v>392</v>
      </c>
      <c r="H39" s="7" t="s">
        <v>60</v>
      </c>
      <c r="I39" s="7" t="s">
        <v>393</v>
      </c>
      <c r="J39" s="7" t="s">
        <v>394</v>
      </c>
      <c r="K39" s="7" t="s">
        <v>395</v>
      </c>
      <c r="L39" s="7" t="s">
        <v>138</v>
      </c>
      <c r="M39" s="7" t="s">
        <v>396</v>
      </c>
    </row>
    <row r="40" customFormat="false" ht="15" hidden="false" customHeight="false" outlineLevel="0" collapsed="false">
      <c r="A40" s="7" t="n">
        <v>39</v>
      </c>
      <c r="B40" s="14" t="s">
        <v>16</v>
      </c>
      <c r="C40" s="7" t="s">
        <v>397</v>
      </c>
      <c r="D40" s="7" t="s">
        <v>120</v>
      </c>
      <c r="E40" s="7" t="s">
        <v>398</v>
      </c>
      <c r="F40" s="7" t="s">
        <v>391</v>
      </c>
      <c r="G40" s="7" t="s">
        <v>399</v>
      </c>
      <c r="H40" s="7" t="s">
        <v>400</v>
      </c>
      <c r="I40" s="7" t="s">
        <v>401</v>
      </c>
      <c r="J40" s="7" t="s">
        <v>402</v>
      </c>
      <c r="K40" s="7" t="s">
        <v>403</v>
      </c>
      <c r="L40" s="7" t="s">
        <v>128</v>
      </c>
      <c r="M40" s="7" t="s">
        <v>404</v>
      </c>
    </row>
    <row r="41" customFormat="false" ht="15" hidden="false" customHeight="false" outlineLevel="0" collapsed="false">
      <c r="A41" s="7" t="n">
        <v>40</v>
      </c>
      <c r="B41" s="14" t="s">
        <v>16</v>
      </c>
      <c r="C41" s="7" t="s">
        <v>405</v>
      </c>
      <c r="D41" s="7" t="s">
        <v>311</v>
      </c>
      <c r="E41" s="7" t="s">
        <v>121</v>
      </c>
      <c r="F41" s="7" t="s">
        <v>406</v>
      </c>
      <c r="G41" s="7" t="s">
        <v>407</v>
      </c>
      <c r="H41" s="7" t="s">
        <v>408</v>
      </c>
      <c r="I41" s="7" t="s">
        <v>409</v>
      </c>
      <c r="J41" s="7" t="s">
        <v>410</v>
      </c>
      <c r="K41" s="7" t="s">
        <v>411</v>
      </c>
      <c r="L41" s="7" t="s">
        <v>412</v>
      </c>
      <c r="M41" s="7" t="s">
        <v>413</v>
      </c>
    </row>
    <row r="42" customFormat="false" ht="15" hidden="false" customHeight="false" outlineLevel="0" collapsed="false">
      <c r="A42" s="7" t="n">
        <v>41</v>
      </c>
      <c r="B42" s="15" t="s">
        <v>18</v>
      </c>
      <c r="C42" s="7" t="s">
        <v>414</v>
      </c>
      <c r="D42" s="7" t="s">
        <v>262</v>
      </c>
      <c r="E42" s="7" t="s">
        <v>162</v>
      </c>
      <c r="F42" s="7" t="s">
        <v>415</v>
      </c>
      <c r="G42" s="7" t="s">
        <v>416</v>
      </c>
      <c r="H42" s="7" t="s">
        <v>417</v>
      </c>
      <c r="I42" s="7" t="s">
        <v>418</v>
      </c>
      <c r="J42" s="7" t="s">
        <v>419</v>
      </c>
      <c r="K42" s="7" t="s">
        <v>420</v>
      </c>
      <c r="L42" s="7" t="s">
        <v>421</v>
      </c>
      <c r="M42" s="7" t="s">
        <v>422</v>
      </c>
    </row>
    <row r="43" customFormat="false" ht="15" hidden="false" customHeight="false" outlineLevel="0" collapsed="false">
      <c r="A43" s="7" t="n">
        <v>42</v>
      </c>
      <c r="B43" s="15" t="s">
        <v>18</v>
      </c>
      <c r="C43" s="7" t="s">
        <v>423</v>
      </c>
      <c r="D43" s="7" t="s">
        <v>172</v>
      </c>
      <c r="E43" s="7" t="s">
        <v>173</v>
      </c>
      <c r="F43" s="7" t="s">
        <v>174</v>
      </c>
      <c r="G43" s="7" t="s">
        <v>424</v>
      </c>
      <c r="H43" s="7" t="s">
        <v>425</v>
      </c>
      <c r="I43" s="7" t="s">
        <v>426</v>
      </c>
      <c r="J43" s="7" t="s">
        <v>427</v>
      </c>
      <c r="K43" s="7" t="s">
        <v>428</v>
      </c>
      <c r="L43" s="7" t="s">
        <v>180</v>
      </c>
      <c r="M43" s="7" t="s">
        <v>429</v>
      </c>
    </row>
    <row r="44" customFormat="false" ht="15" hidden="false" customHeight="false" outlineLevel="0" collapsed="false">
      <c r="A44" s="7" t="n">
        <v>43</v>
      </c>
      <c r="B44" s="15" t="s">
        <v>18</v>
      </c>
      <c r="C44" s="7" t="s">
        <v>430</v>
      </c>
      <c r="D44" s="7" t="s">
        <v>183</v>
      </c>
      <c r="E44" s="7" t="s">
        <v>184</v>
      </c>
      <c r="F44" s="7" t="s">
        <v>174</v>
      </c>
      <c r="G44" s="7" t="s">
        <v>431</v>
      </c>
      <c r="H44" s="7" t="s">
        <v>432</v>
      </c>
      <c r="I44" s="7" t="s">
        <v>433</v>
      </c>
      <c r="J44" s="7" t="s">
        <v>434</v>
      </c>
      <c r="K44" s="7" t="s">
        <v>435</v>
      </c>
      <c r="L44" s="7" t="s">
        <v>190</v>
      </c>
      <c r="M44" s="7" t="s">
        <v>436</v>
      </c>
    </row>
    <row r="45" customFormat="false" ht="15" hidden="false" customHeight="false" outlineLevel="0" collapsed="false">
      <c r="A45" s="7" t="n">
        <v>44</v>
      </c>
      <c r="B45" s="15" t="s">
        <v>18</v>
      </c>
      <c r="C45" s="7" t="s">
        <v>437</v>
      </c>
      <c r="D45" s="7" t="s">
        <v>183</v>
      </c>
      <c r="E45" s="7" t="s">
        <v>193</v>
      </c>
      <c r="F45" s="7" t="s">
        <v>438</v>
      </c>
      <c r="G45" s="7" t="s">
        <v>439</v>
      </c>
      <c r="H45" s="7" t="s">
        <v>440</v>
      </c>
      <c r="I45" s="7" t="s">
        <v>441</v>
      </c>
      <c r="J45" s="7" t="s">
        <v>442</v>
      </c>
      <c r="K45" s="7" t="s">
        <v>443</v>
      </c>
      <c r="L45" s="7" t="s">
        <v>199</v>
      </c>
      <c r="M45" s="7" t="s">
        <v>444</v>
      </c>
    </row>
    <row r="46" customFormat="false" ht="15" hidden="false" customHeight="false" outlineLevel="0" collapsed="false">
      <c r="A46" s="7" t="n">
        <v>45</v>
      </c>
      <c r="B46" s="15" t="s">
        <v>18</v>
      </c>
      <c r="C46" s="7" t="s">
        <v>445</v>
      </c>
      <c r="D46" s="7" t="s">
        <v>202</v>
      </c>
      <c r="E46" s="7" t="s">
        <v>203</v>
      </c>
      <c r="F46" s="7" t="s">
        <v>446</v>
      </c>
      <c r="G46" s="7" t="s">
        <v>447</v>
      </c>
      <c r="H46" s="7" t="s">
        <v>448</v>
      </c>
      <c r="I46" s="7" t="s">
        <v>449</v>
      </c>
      <c r="J46" s="7" t="s">
        <v>450</v>
      </c>
      <c r="K46" s="7" t="s">
        <v>451</v>
      </c>
      <c r="L46" s="7" t="s">
        <v>452</v>
      </c>
      <c r="M46" s="7" t="s">
        <v>453</v>
      </c>
    </row>
    <row r="47" customFormat="false" ht="15" hidden="false" customHeight="false" outlineLevel="0" collapsed="false">
      <c r="A47" s="7" t="n">
        <v>46</v>
      </c>
      <c r="B47" s="15" t="s">
        <v>18</v>
      </c>
      <c r="C47" s="7" t="s">
        <v>454</v>
      </c>
      <c r="D47" s="7" t="s">
        <v>202</v>
      </c>
      <c r="E47" s="7" t="s">
        <v>68</v>
      </c>
      <c r="F47" s="7" t="s">
        <v>455</v>
      </c>
      <c r="G47" s="7" t="s">
        <v>456</v>
      </c>
      <c r="H47" s="7" t="s">
        <v>457</v>
      </c>
      <c r="I47" s="7" t="s">
        <v>458</v>
      </c>
      <c r="J47" s="7" t="s">
        <v>459</v>
      </c>
      <c r="K47" s="7" t="s">
        <v>460</v>
      </c>
      <c r="L47" s="7" t="s">
        <v>75</v>
      </c>
      <c r="M47" s="7" t="s">
        <v>461</v>
      </c>
    </row>
    <row r="48" customFormat="false" ht="15" hidden="false" customHeight="false" outlineLevel="0" collapsed="false">
      <c r="A48" s="7" t="n">
        <v>47</v>
      </c>
      <c r="B48" s="15" t="s">
        <v>18</v>
      </c>
      <c r="C48" s="7" t="s">
        <v>462</v>
      </c>
      <c r="D48" s="7" t="s">
        <v>202</v>
      </c>
      <c r="E48" s="7" t="s">
        <v>141</v>
      </c>
      <c r="F48" s="7" t="s">
        <v>446</v>
      </c>
      <c r="G48" s="7" t="s">
        <v>463</v>
      </c>
      <c r="H48" s="7" t="s">
        <v>464</v>
      </c>
      <c r="I48" s="7" t="s">
        <v>465</v>
      </c>
      <c r="J48" s="7" t="s">
        <v>466</v>
      </c>
      <c r="K48" s="7" t="s">
        <v>467</v>
      </c>
      <c r="L48" s="7" t="s">
        <v>452</v>
      </c>
      <c r="M48" s="7" t="s">
        <v>468</v>
      </c>
    </row>
    <row r="49" customFormat="false" ht="15" hidden="false" customHeight="false" outlineLevel="0" collapsed="false">
      <c r="A49" s="7" t="n">
        <v>48</v>
      </c>
      <c r="B49" s="15" t="s">
        <v>18</v>
      </c>
      <c r="C49" s="7" t="s">
        <v>469</v>
      </c>
      <c r="D49" s="7" t="s">
        <v>358</v>
      </c>
      <c r="E49" s="7" t="s">
        <v>470</v>
      </c>
      <c r="F49" s="7" t="s">
        <v>360</v>
      </c>
      <c r="G49" s="7" t="s">
        <v>471</v>
      </c>
      <c r="H49" s="7" t="s">
        <v>472</v>
      </c>
      <c r="I49" s="7" t="s">
        <v>473</v>
      </c>
      <c r="J49" s="7" t="s">
        <v>474</v>
      </c>
      <c r="K49" s="7" t="s">
        <v>475</v>
      </c>
      <c r="L49" s="7" t="s">
        <v>376</v>
      </c>
      <c r="M49" s="7" t="s">
        <v>476</v>
      </c>
    </row>
    <row r="50" customFormat="false" ht="15" hidden="false" customHeight="false" outlineLevel="0" collapsed="false">
      <c r="A50" s="7" t="n">
        <v>49</v>
      </c>
      <c r="B50" s="15" t="s">
        <v>18</v>
      </c>
      <c r="C50" s="7" t="s">
        <v>477</v>
      </c>
      <c r="D50" s="7" t="s">
        <v>202</v>
      </c>
      <c r="E50" s="7" t="s">
        <v>478</v>
      </c>
      <c r="F50" s="7" t="s">
        <v>142</v>
      </c>
      <c r="G50" s="7" t="s">
        <v>479</v>
      </c>
      <c r="H50" s="7" t="s">
        <v>480</v>
      </c>
      <c r="I50" s="7" t="s">
        <v>481</v>
      </c>
      <c r="J50" s="7" t="s">
        <v>482</v>
      </c>
      <c r="K50" s="7" t="s">
        <v>483</v>
      </c>
      <c r="L50" s="7" t="s">
        <v>280</v>
      </c>
      <c r="M50" s="7" t="s">
        <v>484</v>
      </c>
    </row>
    <row r="51" customFormat="false" ht="15" hidden="false" customHeight="false" outlineLevel="0" collapsed="false">
      <c r="A51" s="7" t="n">
        <v>50</v>
      </c>
      <c r="B51" s="15" t="s">
        <v>18</v>
      </c>
      <c r="C51" s="7" t="s">
        <v>485</v>
      </c>
      <c r="D51" s="7" t="s">
        <v>338</v>
      </c>
      <c r="E51" s="7" t="s">
        <v>486</v>
      </c>
      <c r="F51" s="7" t="s">
        <v>339</v>
      </c>
      <c r="G51" s="7" t="s">
        <v>487</v>
      </c>
      <c r="H51" s="7" t="s">
        <v>488</v>
      </c>
      <c r="I51" s="7" t="s">
        <v>489</v>
      </c>
      <c r="J51" s="7" t="s">
        <v>490</v>
      </c>
      <c r="K51" s="7" t="s">
        <v>491</v>
      </c>
      <c r="L51" s="7" t="s">
        <v>492</v>
      </c>
      <c r="M51" s="7" t="s">
        <v>493</v>
      </c>
    </row>
    <row r="52" customFormat="false" ht="15" hidden="false" customHeight="false" outlineLevel="0" collapsed="false">
      <c r="A52" s="7" t="n">
        <v>51</v>
      </c>
      <c r="B52" s="15" t="s">
        <v>18</v>
      </c>
      <c r="C52" s="7" t="s">
        <v>494</v>
      </c>
      <c r="D52" s="7" t="s">
        <v>311</v>
      </c>
      <c r="E52" s="7" t="s">
        <v>141</v>
      </c>
      <c r="F52" s="7" t="s">
        <v>495</v>
      </c>
      <c r="G52" s="7" t="s">
        <v>496</v>
      </c>
      <c r="H52" s="7" t="s">
        <v>497</v>
      </c>
      <c r="I52" s="7" t="s">
        <v>498</v>
      </c>
      <c r="J52" s="7" t="s">
        <v>499</v>
      </c>
      <c r="K52" s="7" t="s">
        <v>500</v>
      </c>
      <c r="L52" s="7" t="s">
        <v>501</v>
      </c>
      <c r="M52" s="7" t="s">
        <v>502</v>
      </c>
    </row>
    <row r="53" customFormat="false" ht="15" hidden="false" customHeight="false" outlineLevel="0" collapsed="false">
      <c r="A53" s="7" t="n">
        <v>52</v>
      </c>
      <c r="B53" s="16" t="s">
        <v>20</v>
      </c>
      <c r="C53" s="7" t="s">
        <v>503</v>
      </c>
      <c r="D53" s="7" t="s">
        <v>504</v>
      </c>
      <c r="E53" s="7" t="s">
        <v>505</v>
      </c>
      <c r="F53" s="7" t="s">
        <v>506</v>
      </c>
      <c r="G53" s="7" t="s">
        <v>507</v>
      </c>
      <c r="H53" s="7" t="s">
        <v>508</v>
      </c>
      <c r="I53" s="7" t="s">
        <v>509</v>
      </c>
      <c r="J53" s="7" t="s">
        <v>510</v>
      </c>
      <c r="K53" s="7" t="s">
        <v>511</v>
      </c>
      <c r="L53" s="7" t="s">
        <v>512</v>
      </c>
      <c r="M53" s="7" t="s">
        <v>513</v>
      </c>
    </row>
    <row r="54" customFormat="false" ht="15" hidden="false" customHeight="false" outlineLevel="0" collapsed="false">
      <c r="A54" s="7" t="n">
        <v>53</v>
      </c>
      <c r="B54" s="16" t="s">
        <v>20</v>
      </c>
      <c r="C54" s="7" t="s">
        <v>514</v>
      </c>
      <c r="D54" s="7" t="s">
        <v>515</v>
      </c>
      <c r="E54" s="7" t="s">
        <v>516</v>
      </c>
      <c r="F54" s="7" t="s">
        <v>80</v>
      </c>
      <c r="G54" s="7" t="s">
        <v>517</v>
      </c>
      <c r="H54" s="7" t="s">
        <v>518</v>
      </c>
      <c r="I54" s="7" t="s">
        <v>519</v>
      </c>
      <c r="J54" s="7" t="s">
        <v>520</v>
      </c>
      <c r="K54" s="7" t="s">
        <v>521</v>
      </c>
      <c r="L54" s="7" t="s">
        <v>522</v>
      </c>
      <c r="M54" s="7" t="s">
        <v>523</v>
      </c>
    </row>
    <row r="55" customFormat="false" ht="15" hidden="false" customHeight="false" outlineLevel="0" collapsed="false">
      <c r="A55" s="7" t="n">
        <v>54</v>
      </c>
      <c r="B55" s="16" t="s">
        <v>20</v>
      </c>
      <c r="C55" s="7" t="s">
        <v>524</v>
      </c>
      <c r="D55" s="7" t="s">
        <v>525</v>
      </c>
      <c r="E55" s="7" t="s">
        <v>526</v>
      </c>
      <c r="F55" s="7" t="s">
        <v>350</v>
      </c>
      <c r="G55" s="7" t="s">
        <v>527</v>
      </c>
      <c r="H55" s="7" t="s">
        <v>528</v>
      </c>
      <c r="I55" s="7" t="s">
        <v>529</v>
      </c>
      <c r="J55" s="7" t="s">
        <v>530</v>
      </c>
      <c r="K55" s="7" t="s">
        <v>531</v>
      </c>
      <c r="L55" s="7" t="s">
        <v>532</v>
      </c>
      <c r="M55" s="7" t="s">
        <v>533</v>
      </c>
    </row>
    <row r="56" customFormat="false" ht="15" hidden="false" customHeight="false" outlineLevel="0" collapsed="false">
      <c r="A56" s="7" t="n">
        <v>55</v>
      </c>
      <c r="B56" s="16" t="s">
        <v>20</v>
      </c>
      <c r="C56" s="7" t="s">
        <v>534</v>
      </c>
      <c r="D56" s="7" t="s">
        <v>535</v>
      </c>
      <c r="E56" s="7" t="s">
        <v>536</v>
      </c>
      <c r="F56" s="7" t="s">
        <v>537</v>
      </c>
      <c r="G56" s="7" t="s">
        <v>538</v>
      </c>
      <c r="H56" s="7" t="s">
        <v>539</v>
      </c>
      <c r="I56" s="7" t="s">
        <v>540</v>
      </c>
      <c r="J56" s="7" t="s">
        <v>541</v>
      </c>
      <c r="K56" s="7" t="s">
        <v>542</v>
      </c>
      <c r="L56" s="7" t="s">
        <v>270</v>
      </c>
      <c r="M56" s="7" t="s">
        <v>543</v>
      </c>
    </row>
    <row r="57" customFormat="false" ht="15" hidden="false" customHeight="false" outlineLevel="0" collapsed="false">
      <c r="A57" s="7" t="n">
        <v>56</v>
      </c>
      <c r="B57" s="16" t="s">
        <v>20</v>
      </c>
      <c r="C57" s="7" t="s">
        <v>544</v>
      </c>
      <c r="D57" s="7" t="s">
        <v>535</v>
      </c>
      <c r="E57" s="7" t="s">
        <v>545</v>
      </c>
      <c r="F57" s="7" t="s">
        <v>546</v>
      </c>
      <c r="G57" s="7" t="s">
        <v>547</v>
      </c>
      <c r="H57" s="7" t="s">
        <v>548</v>
      </c>
      <c r="I57" s="7" t="s">
        <v>549</v>
      </c>
      <c r="J57" s="7" t="s">
        <v>550</v>
      </c>
      <c r="K57" s="7" t="s">
        <v>551</v>
      </c>
      <c r="L57" s="7" t="s">
        <v>552</v>
      </c>
      <c r="M57" s="7" t="s">
        <v>553</v>
      </c>
    </row>
    <row r="58" customFormat="false" ht="15" hidden="false" customHeight="false" outlineLevel="0" collapsed="false">
      <c r="A58" s="7" t="n">
        <v>57</v>
      </c>
      <c r="B58" s="16" t="s">
        <v>20</v>
      </c>
      <c r="C58" s="7" t="s">
        <v>554</v>
      </c>
      <c r="D58" s="7" t="s">
        <v>67</v>
      </c>
      <c r="E58" s="7" t="s">
        <v>555</v>
      </c>
      <c r="F58" s="7" t="s">
        <v>80</v>
      </c>
      <c r="G58" s="7" t="s">
        <v>556</v>
      </c>
      <c r="H58" s="7" t="s">
        <v>557</v>
      </c>
      <c r="I58" s="7" t="s">
        <v>558</v>
      </c>
      <c r="J58" s="7" t="s">
        <v>559</v>
      </c>
      <c r="K58" s="7" t="s">
        <v>560</v>
      </c>
      <c r="L58" s="7" t="s">
        <v>561</v>
      </c>
      <c r="M58" s="7" t="s">
        <v>562</v>
      </c>
    </row>
    <row r="59" customFormat="false" ht="15" hidden="false" customHeight="false" outlineLevel="0" collapsed="false">
      <c r="A59" s="7" t="n">
        <v>58</v>
      </c>
      <c r="B59" s="16" t="s">
        <v>20</v>
      </c>
      <c r="C59" s="7" t="s">
        <v>563</v>
      </c>
      <c r="D59" s="7" t="s">
        <v>564</v>
      </c>
      <c r="E59" s="7" t="s">
        <v>173</v>
      </c>
      <c r="F59" s="7" t="s">
        <v>142</v>
      </c>
      <c r="G59" s="7" t="s">
        <v>565</v>
      </c>
      <c r="H59" s="7" t="s">
        <v>566</v>
      </c>
      <c r="I59" s="7" t="s">
        <v>567</v>
      </c>
      <c r="J59" s="7" t="s">
        <v>568</v>
      </c>
      <c r="K59" s="7" t="s">
        <v>569</v>
      </c>
      <c r="L59" s="7" t="s">
        <v>522</v>
      </c>
      <c r="M59" s="7" t="s">
        <v>570</v>
      </c>
    </row>
    <row r="60" customFormat="false" ht="15" hidden="false" customHeight="false" outlineLevel="0" collapsed="false">
      <c r="A60" s="7" t="n">
        <v>59</v>
      </c>
      <c r="B60" s="16" t="s">
        <v>20</v>
      </c>
      <c r="C60" s="7" t="s">
        <v>571</v>
      </c>
      <c r="D60" s="7" t="s">
        <v>572</v>
      </c>
      <c r="E60" s="7" t="s">
        <v>573</v>
      </c>
      <c r="F60" s="7" t="s">
        <v>80</v>
      </c>
      <c r="G60" s="7" t="s">
        <v>574</v>
      </c>
      <c r="H60" s="7" t="s">
        <v>575</v>
      </c>
      <c r="I60" s="7" t="s">
        <v>576</v>
      </c>
      <c r="J60" s="7" t="s">
        <v>577</v>
      </c>
      <c r="K60" s="7" t="s">
        <v>578</v>
      </c>
      <c r="L60" s="7" t="s">
        <v>522</v>
      </c>
      <c r="M60" s="7" t="s">
        <v>579</v>
      </c>
    </row>
    <row r="61" customFormat="false" ht="15" hidden="false" customHeight="false" outlineLevel="0" collapsed="false">
      <c r="A61" s="7" t="n">
        <v>60</v>
      </c>
      <c r="B61" s="16" t="s">
        <v>20</v>
      </c>
      <c r="C61" s="7" t="s">
        <v>580</v>
      </c>
      <c r="D61" s="7" t="s">
        <v>572</v>
      </c>
      <c r="E61" s="7" t="s">
        <v>581</v>
      </c>
      <c r="F61" s="7" t="s">
        <v>80</v>
      </c>
      <c r="G61" s="7" t="s">
        <v>582</v>
      </c>
      <c r="H61" s="7" t="s">
        <v>583</v>
      </c>
      <c r="I61" s="7" t="s">
        <v>584</v>
      </c>
      <c r="J61" s="7" t="s">
        <v>585</v>
      </c>
      <c r="K61" s="7" t="s">
        <v>586</v>
      </c>
      <c r="L61" s="7" t="s">
        <v>587</v>
      </c>
      <c r="M61" s="7" t="s">
        <v>588</v>
      </c>
    </row>
    <row r="62" customFormat="false" ht="15" hidden="false" customHeight="false" outlineLevel="0" collapsed="false">
      <c r="A62" s="7" t="n">
        <v>61</v>
      </c>
      <c r="B62" s="16" t="s">
        <v>20</v>
      </c>
      <c r="C62" s="7" t="s">
        <v>589</v>
      </c>
      <c r="D62" s="7" t="s">
        <v>572</v>
      </c>
      <c r="E62" s="7" t="s">
        <v>590</v>
      </c>
      <c r="F62" s="7" t="s">
        <v>80</v>
      </c>
      <c r="G62" s="7" t="s">
        <v>591</v>
      </c>
      <c r="H62" s="7" t="s">
        <v>592</v>
      </c>
      <c r="I62" s="7" t="s">
        <v>593</v>
      </c>
      <c r="J62" s="7" t="s">
        <v>594</v>
      </c>
      <c r="K62" s="7" t="s">
        <v>595</v>
      </c>
      <c r="L62" s="7" t="s">
        <v>522</v>
      </c>
      <c r="M62" s="7" t="s">
        <v>596</v>
      </c>
    </row>
    <row r="63" customFormat="false" ht="15" hidden="false" customHeight="false" outlineLevel="0" collapsed="false">
      <c r="A63" s="7" t="n">
        <v>62</v>
      </c>
      <c r="B63" s="16" t="s">
        <v>20</v>
      </c>
      <c r="C63" s="7" t="s">
        <v>597</v>
      </c>
      <c r="D63" s="7" t="s">
        <v>572</v>
      </c>
      <c r="E63" s="7" t="s">
        <v>598</v>
      </c>
      <c r="F63" s="7" t="s">
        <v>80</v>
      </c>
      <c r="G63" s="7" t="s">
        <v>599</v>
      </c>
      <c r="H63" s="7" t="s">
        <v>600</v>
      </c>
      <c r="I63" s="7" t="s">
        <v>601</v>
      </c>
      <c r="J63" s="7" t="s">
        <v>602</v>
      </c>
      <c r="K63" s="7" t="s">
        <v>603</v>
      </c>
      <c r="L63" s="7" t="s">
        <v>522</v>
      </c>
      <c r="M63" s="7" t="s">
        <v>604</v>
      </c>
    </row>
    <row r="64" customFormat="false" ht="15" hidden="false" customHeight="false" outlineLevel="0" collapsed="false">
      <c r="A64" s="7" t="n">
        <v>63</v>
      </c>
      <c r="B64" s="16" t="s">
        <v>20</v>
      </c>
      <c r="C64" s="7" t="s">
        <v>605</v>
      </c>
      <c r="D64" s="7" t="s">
        <v>606</v>
      </c>
      <c r="E64" s="7" t="s">
        <v>607</v>
      </c>
      <c r="F64" s="7" t="s">
        <v>350</v>
      </c>
      <c r="G64" s="7" t="s">
        <v>608</v>
      </c>
      <c r="H64" s="7" t="s">
        <v>609</v>
      </c>
      <c r="I64" s="7" t="s">
        <v>610</v>
      </c>
      <c r="J64" s="7" t="s">
        <v>611</v>
      </c>
      <c r="K64" s="7" t="s">
        <v>612</v>
      </c>
      <c r="L64" s="7" t="s">
        <v>613</v>
      </c>
      <c r="M64" s="7" t="s">
        <v>614</v>
      </c>
    </row>
    <row r="65" customFormat="false" ht="15" hidden="false" customHeight="false" outlineLevel="0" collapsed="false">
      <c r="A65" s="7" t="n">
        <v>64</v>
      </c>
      <c r="B65" s="16" t="s">
        <v>20</v>
      </c>
      <c r="C65" s="7" t="s">
        <v>615</v>
      </c>
      <c r="D65" s="7" t="s">
        <v>616</v>
      </c>
      <c r="E65" s="7" t="s">
        <v>617</v>
      </c>
      <c r="F65" s="7" t="s">
        <v>391</v>
      </c>
      <c r="G65" s="7" t="s">
        <v>618</v>
      </c>
      <c r="H65" s="7" t="s">
        <v>619</v>
      </c>
      <c r="I65" s="7" t="s">
        <v>620</v>
      </c>
      <c r="J65" s="7" t="s">
        <v>621</v>
      </c>
      <c r="K65" s="7" t="s">
        <v>622</v>
      </c>
      <c r="L65" s="7" t="s">
        <v>623</v>
      </c>
      <c r="M65" s="7" t="s">
        <v>624</v>
      </c>
    </row>
    <row r="66" customFormat="false" ht="15" hidden="false" customHeight="false" outlineLevel="0" collapsed="false">
      <c r="A66" s="7" t="n">
        <v>65</v>
      </c>
      <c r="B66" s="16" t="s">
        <v>20</v>
      </c>
      <c r="C66" s="7" t="s">
        <v>625</v>
      </c>
      <c r="D66" s="7" t="s">
        <v>626</v>
      </c>
      <c r="E66" s="7" t="s">
        <v>627</v>
      </c>
      <c r="F66" s="7" t="s">
        <v>628</v>
      </c>
      <c r="G66" s="7" t="s">
        <v>629</v>
      </c>
      <c r="H66" s="7" t="s">
        <v>630</v>
      </c>
      <c r="I66" s="7" t="s">
        <v>631</v>
      </c>
      <c r="J66" s="7" t="s">
        <v>632</v>
      </c>
      <c r="K66" s="7" t="s">
        <v>633</v>
      </c>
      <c r="L66" s="7" t="s">
        <v>299</v>
      </c>
      <c r="M66" s="7" t="s">
        <v>634</v>
      </c>
    </row>
    <row r="67" customFormat="false" ht="15" hidden="false" customHeight="false" outlineLevel="0" collapsed="false">
      <c r="A67" s="7" t="n">
        <v>66</v>
      </c>
      <c r="B67" s="17" t="s">
        <v>22</v>
      </c>
      <c r="C67" s="7" t="s">
        <v>635</v>
      </c>
      <c r="D67" s="7" t="s">
        <v>636</v>
      </c>
      <c r="E67" s="7" t="s">
        <v>637</v>
      </c>
      <c r="F67" s="7" t="s">
        <v>638</v>
      </c>
      <c r="G67" s="7" t="s">
        <v>639</v>
      </c>
      <c r="H67" s="7" t="s">
        <v>640</v>
      </c>
      <c r="I67" s="7" t="s">
        <v>641</v>
      </c>
      <c r="J67" s="7" t="s">
        <v>642</v>
      </c>
      <c r="K67" s="7" t="s">
        <v>643</v>
      </c>
      <c r="L67" s="7" t="s">
        <v>644</v>
      </c>
      <c r="M67" s="7" t="s">
        <v>645</v>
      </c>
    </row>
    <row r="68" customFormat="false" ht="15" hidden="false" customHeight="false" outlineLevel="0" collapsed="false">
      <c r="A68" s="7" t="n">
        <v>67</v>
      </c>
      <c r="B68" s="17" t="s">
        <v>22</v>
      </c>
      <c r="C68" s="7" t="s">
        <v>646</v>
      </c>
      <c r="D68" s="7" t="s">
        <v>647</v>
      </c>
      <c r="E68" s="7" t="s">
        <v>648</v>
      </c>
      <c r="F68" s="7" t="s">
        <v>649</v>
      </c>
      <c r="G68" s="7" t="s">
        <v>650</v>
      </c>
      <c r="H68" s="7" t="s">
        <v>651</v>
      </c>
      <c r="I68" s="7" t="s">
        <v>652</v>
      </c>
      <c r="J68" s="7" t="s">
        <v>653</v>
      </c>
      <c r="K68" s="7" t="s">
        <v>654</v>
      </c>
      <c r="L68" s="7" t="s">
        <v>655</v>
      </c>
      <c r="M68" s="7" t="s">
        <v>656</v>
      </c>
    </row>
    <row r="69" customFormat="false" ht="15" hidden="false" customHeight="false" outlineLevel="0" collapsed="false">
      <c r="A69" s="7" t="n">
        <v>68</v>
      </c>
      <c r="B69" s="17" t="s">
        <v>22</v>
      </c>
      <c r="C69" s="7" t="s">
        <v>657</v>
      </c>
      <c r="D69" s="7" t="s">
        <v>658</v>
      </c>
      <c r="E69" s="7" t="s">
        <v>659</v>
      </c>
      <c r="F69" s="7" t="s">
        <v>660</v>
      </c>
      <c r="G69" s="7" t="s">
        <v>661</v>
      </c>
      <c r="H69" s="7" t="s">
        <v>662</v>
      </c>
      <c r="I69" s="7" t="s">
        <v>663</v>
      </c>
      <c r="J69" s="7" t="s">
        <v>664</v>
      </c>
      <c r="K69" s="7" t="s">
        <v>665</v>
      </c>
      <c r="L69" s="7" t="s">
        <v>666</v>
      </c>
      <c r="M69" s="7" t="s">
        <v>667</v>
      </c>
    </row>
    <row r="70" customFormat="false" ht="15" hidden="false" customHeight="false" outlineLevel="0" collapsed="false">
      <c r="A70" s="7" t="n">
        <v>69</v>
      </c>
      <c r="B70" s="17" t="s">
        <v>22</v>
      </c>
      <c r="C70" s="7" t="s">
        <v>668</v>
      </c>
      <c r="D70" s="7" t="s">
        <v>669</v>
      </c>
      <c r="E70" s="7" t="s">
        <v>670</v>
      </c>
      <c r="F70" s="7" t="s">
        <v>649</v>
      </c>
      <c r="G70" s="7" t="s">
        <v>671</v>
      </c>
      <c r="H70" s="7" t="s">
        <v>672</v>
      </c>
      <c r="I70" s="7" t="s">
        <v>673</v>
      </c>
      <c r="J70" s="7" t="s">
        <v>674</v>
      </c>
      <c r="K70" s="7" t="s">
        <v>675</v>
      </c>
      <c r="L70" s="7" t="s">
        <v>676</v>
      </c>
      <c r="M70" s="7" t="s">
        <v>677</v>
      </c>
    </row>
    <row r="71" customFormat="false" ht="15" hidden="false" customHeight="false" outlineLevel="0" collapsed="false">
      <c r="A71" s="7" t="n">
        <v>70</v>
      </c>
      <c r="B71" s="17" t="s">
        <v>22</v>
      </c>
      <c r="C71" s="7" t="s">
        <v>678</v>
      </c>
      <c r="D71" s="7" t="s">
        <v>572</v>
      </c>
      <c r="E71" s="7" t="s">
        <v>679</v>
      </c>
      <c r="F71" s="7" t="s">
        <v>80</v>
      </c>
      <c r="G71" s="7" t="s">
        <v>680</v>
      </c>
      <c r="H71" s="7" t="s">
        <v>681</v>
      </c>
      <c r="I71" s="7" t="s">
        <v>682</v>
      </c>
      <c r="J71" s="7" t="s">
        <v>683</v>
      </c>
      <c r="K71" s="7" t="s">
        <v>684</v>
      </c>
      <c r="L71" s="7" t="s">
        <v>685</v>
      </c>
      <c r="M71" s="7" t="s">
        <v>686</v>
      </c>
    </row>
    <row r="72" customFormat="false" ht="15" hidden="false" customHeight="false" outlineLevel="0" collapsed="false">
      <c r="A72" s="7" t="n">
        <v>71</v>
      </c>
      <c r="B72" s="17" t="s">
        <v>22</v>
      </c>
      <c r="C72" s="7" t="s">
        <v>687</v>
      </c>
      <c r="D72" s="7" t="s">
        <v>572</v>
      </c>
      <c r="E72" s="7" t="s">
        <v>688</v>
      </c>
      <c r="F72" s="7" t="s">
        <v>80</v>
      </c>
      <c r="G72" s="7" t="s">
        <v>689</v>
      </c>
      <c r="H72" s="7" t="s">
        <v>690</v>
      </c>
      <c r="I72" s="7" t="s">
        <v>691</v>
      </c>
      <c r="J72" s="7" t="s">
        <v>692</v>
      </c>
      <c r="K72" s="7" t="s">
        <v>693</v>
      </c>
      <c r="L72" s="7" t="s">
        <v>522</v>
      </c>
      <c r="M72" s="7" t="s">
        <v>694</v>
      </c>
    </row>
    <row r="73" customFormat="false" ht="15" hidden="false" customHeight="false" outlineLevel="0" collapsed="false">
      <c r="A73" s="7" t="n">
        <v>72</v>
      </c>
      <c r="B73" s="17" t="s">
        <v>22</v>
      </c>
      <c r="C73" s="7" t="s">
        <v>695</v>
      </c>
      <c r="D73" s="7" t="s">
        <v>572</v>
      </c>
      <c r="E73" s="7" t="s">
        <v>696</v>
      </c>
      <c r="F73" s="7" t="s">
        <v>80</v>
      </c>
      <c r="G73" s="7" t="s">
        <v>697</v>
      </c>
      <c r="H73" s="7" t="s">
        <v>698</v>
      </c>
      <c r="I73" s="7" t="s">
        <v>699</v>
      </c>
      <c r="J73" s="7" t="s">
        <v>700</v>
      </c>
      <c r="K73" s="7" t="s">
        <v>701</v>
      </c>
      <c r="L73" s="7" t="s">
        <v>702</v>
      </c>
      <c r="M73" s="7" t="s">
        <v>703</v>
      </c>
    </row>
    <row r="74" customFormat="false" ht="15" hidden="false" customHeight="false" outlineLevel="0" collapsed="false">
      <c r="A74" s="7" t="n">
        <v>73</v>
      </c>
      <c r="B74" s="17" t="s">
        <v>22</v>
      </c>
      <c r="C74" s="7" t="s">
        <v>704</v>
      </c>
      <c r="D74" s="7" t="s">
        <v>572</v>
      </c>
      <c r="E74" s="7" t="s">
        <v>581</v>
      </c>
      <c r="F74" s="7" t="s">
        <v>80</v>
      </c>
      <c r="G74" s="7" t="s">
        <v>705</v>
      </c>
      <c r="H74" s="7" t="s">
        <v>706</v>
      </c>
      <c r="I74" s="7" t="s">
        <v>707</v>
      </c>
      <c r="J74" s="7" t="s">
        <v>708</v>
      </c>
      <c r="K74" s="7" t="s">
        <v>709</v>
      </c>
      <c r="L74" s="7" t="s">
        <v>587</v>
      </c>
      <c r="M74" s="7" t="s">
        <v>710</v>
      </c>
    </row>
    <row r="75" customFormat="false" ht="15" hidden="false" customHeight="false" outlineLevel="0" collapsed="false">
      <c r="A75" s="7" t="n">
        <v>74</v>
      </c>
      <c r="B75" s="17" t="s">
        <v>22</v>
      </c>
      <c r="C75" s="7" t="s">
        <v>711</v>
      </c>
      <c r="D75" s="7" t="s">
        <v>712</v>
      </c>
      <c r="E75" s="7" t="s">
        <v>713</v>
      </c>
      <c r="F75" s="7" t="s">
        <v>714</v>
      </c>
      <c r="G75" s="7" t="s">
        <v>715</v>
      </c>
      <c r="H75" s="7" t="s">
        <v>716</v>
      </c>
      <c r="I75" s="7" t="s">
        <v>717</v>
      </c>
      <c r="J75" s="7" t="s">
        <v>718</v>
      </c>
      <c r="K75" s="7" t="s">
        <v>719</v>
      </c>
      <c r="L75" s="7" t="s">
        <v>720</v>
      </c>
      <c r="M75" s="7" t="s">
        <v>721</v>
      </c>
    </row>
    <row r="76" customFormat="false" ht="15" hidden="false" customHeight="false" outlineLevel="0" collapsed="false">
      <c r="A76" s="7" t="n">
        <v>75</v>
      </c>
      <c r="B76" s="17" t="s">
        <v>22</v>
      </c>
      <c r="C76" s="7" t="s">
        <v>722</v>
      </c>
      <c r="D76" s="7" t="s">
        <v>723</v>
      </c>
      <c r="E76" s="7" t="s">
        <v>724</v>
      </c>
      <c r="F76" s="7" t="s">
        <v>391</v>
      </c>
      <c r="G76" s="7" t="s">
        <v>725</v>
      </c>
      <c r="H76" s="7" t="s">
        <v>726</v>
      </c>
      <c r="I76" s="7" t="s">
        <v>727</v>
      </c>
      <c r="J76" s="7" t="s">
        <v>728</v>
      </c>
      <c r="K76" s="7" t="s">
        <v>729</v>
      </c>
      <c r="L76" s="7" t="s">
        <v>730</v>
      </c>
      <c r="M76" s="7" t="s">
        <v>731</v>
      </c>
    </row>
    <row r="77" customFormat="false" ht="15" hidden="false" customHeight="false" outlineLevel="0" collapsed="false">
      <c r="A77" s="7" t="n">
        <v>76</v>
      </c>
      <c r="B77" s="17" t="s">
        <v>22</v>
      </c>
      <c r="C77" s="7" t="s">
        <v>732</v>
      </c>
      <c r="D77" s="7" t="s">
        <v>733</v>
      </c>
      <c r="E77" s="7" t="s">
        <v>734</v>
      </c>
      <c r="F77" s="7" t="s">
        <v>735</v>
      </c>
      <c r="G77" s="7" t="s">
        <v>736</v>
      </c>
      <c r="H77" s="7" t="s">
        <v>737</v>
      </c>
      <c r="I77" s="7" t="s">
        <v>738</v>
      </c>
      <c r="J77" s="7" t="s">
        <v>739</v>
      </c>
      <c r="K77" s="7" t="s">
        <v>740</v>
      </c>
      <c r="L77" s="7" t="s">
        <v>623</v>
      </c>
      <c r="M77" s="7" t="s">
        <v>741</v>
      </c>
    </row>
    <row r="78" customFormat="false" ht="15" hidden="false" customHeight="false" outlineLevel="0" collapsed="false">
      <c r="A78" s="7" t="n">
        <v>77</v>
      </c>
      <c r="B78" s="17" t="s">
        <v>22</v>
      </c>
      <c r="C78" s="7" t="s">
        <v>742</v>
      </c>
      <c r="D78" s="7" t="s">
        <v>647</v>
      </c>
      <c r="E78" s="7" t="s">
        <v>743</v>
      </c>
      <c r="F78" s="7" t="s">
        <v>360</v>
      </c>
      <c r="G78" s="7" t="s">
        <v>744</v>
      </c>
      <c r="H78" s="7" t="s">
        <v>745</v>
      </c>
      <c r="I78" s="7" t="s">
        <v>746</v>
      </c>
      <c r="J78" s="7" t="s">
        <v>747</v>
      </c>
      <c r="K78" s="7" t="s">
        <v>748</v>
      </c>
      <c r="L78" s="7" t="s">
        <v>685</v>
      </c>
      <c r="M78" s="7" t="s">
        <v>749</v>
      </c>
    </row>
    <row r="79" customFormat="false" ht="15" hidden="false" customHeight="false" outlineLevel="0" collapsed="false">
      <c r="A79" s="7" t="n">
        <v>78</v>
      </c>
      <c r="B79" s="17" t="s">
        <v>22</v>
      </c>
      <c r="C79" s="7" t="s">
        <v>750</v>
      </c>
      <c r="D79" s="7" t="s">
        <v>626</v>
      </c>
      <c r="E79" s="7" t="s">
        <v>751</v>
      </c>
      <c r="F79" s="7" t="s">
        <v>752</v>
      </c>
      <c r="G79" s="7" t="s">
        <v>753</v>
      </c>
      <c r="H79" s="7" t="s">
        <v>754</v>
      </c>
      <c r="I79" s="7" t="s">
        <v>755</v>
      </c>
      <c r="J79" s="7" t="s">
        <v>756</v>
      </c>
      <c r="K79" s="7" t="s">
        <v>757</v>
      </c>
      <c r="L79" s="7" t="s">
        <v>299</v>
      </c>
      <c r="M79" s="7" t="s">
        <v>758</v>
      </c>
    </row>
    <row r="80" customFormat="false" ht="15" hidden="false" customHeight="false" outlineLevel="0" collapsed="false">
      <c r="A80" s="7" t="n">
        <v>79</v>
      </c>
      <c r="B80" s="18" t="s">
        <v>24</v>
      </c>
      <c r="C80" s="7" t="s">
        <v>759</v>
      </c>
      <c r="D80" s="7" t="s">
        <v>760</v>
      </c>
      <c r="E80" s="7" t="s">
        <v>761</v>
      </c>
      <c r="F80" s="7" t="s">
        <v>762</v>
      </c>
      <c r="G80" s="7" t="s">
        <v>763</v>
      </c>
      <c r="H80" s="7" t="s">
        <v>764</v>
      </c>
      <c r="I80" s="7" t="s">
        <v>765</v>
      </c>
      <c r="J80" s="7" t="s">
        <v>766</v>
      </c>
      <c r="K80" s="7" t="s">
        <v>767</v>
      </c>
      <c r="L80" s="7" t="s">
        <v>768</v>
      </c>
      <c r="M80" s="7" t="s">
        <v>769</v>
      </c>
    </row>
    <row r="81" customFormat="false" ht="15" hidden="false" customHeight="false" outlineLevel="0" collapsed="false">
      <c r="A81" s="7" t="n">
        <v>80</v>
      </c>
      <c r="B81" s="18" t="s">
        <v>24</v>
      </c>
      <c r="C81" s="7" t="s">
        <v>770</v>
      </c>
      <c r="D81" s="7" t="s">
        <v>771</v>
      </c>
      <c r="E81" s="7" t="s">
        <v>772</v>
      </c>
      <c r="F81" s="7" t="s">
        <v>773</v>
      </c>
      <c r="G81" s="7" t="s">
        <v>774</v>
      </c>
      <c r="H81" s="7" t="s">
        <v>775</v>
      </c>
      <c r="I81" s="7" t="s">
        <v>776</v>
      </c>
      <c r="J81" s="7" t="s">
        <v>777</v>
      </c>
      <c r="K81" s="7" t="s">
        <v>778</v>
      </c>
      <c r="L81" s="7" t="s">
        <v>779</v>
      </c>
      <c r="M81" s="7" t="s">
        <v>780</v>
      </c>
    </row>
    <row r="82" customFormat="false" ht="15" hidden="false" customHeight="false" outlineLevel="0" collapsed="false">
      <c r="A82" s="7" t="n">
        <v>81</v>
      </c>
      <c r="B82" s="18" t="s">
        <v>24</v>
      </c>
      <c r="C82" s="7" t="s">
        <v>781</v>
      </c>
      <c r="D82" s="7" t="s">
        <v>535</v>
      </c>
      <c r="E82" s="7" t="s">
        <v>782</v>
      </c>
      <c r="F82" s="7" t="s">
        <v>783</v>
      </c>
      <c r="G82" s="7" t="s">
        <v>784</v>
      </c>
      <c r="H82" s="7" t="s">
        <v>785</v>
      </c>
      <c r="I82" s="7" t="s">
        <v>786</v>
      </c>
      <c r="J82" s="7" t="s">
        <v>787</v>
      </c>
      <c r="K82" s="7" t="s">
        <v>788</v>
      </c>
      <c r="L82" s="7" t="s">
        <v>552</v>
      </c>
      <c r="M82" s="7" t="s">
        <v>789</v>
      </c>
    </row>
    <row r="83" customFormat="false" ht="15" hidden="false" customHeight="false" outlineLevel="0" collapsed="false">
      <c r="A83" s="7" t="n">
        <v>82</v>
      </c>
      <c r="B83" s="18" t="s">
        <v>24</v>
      </c>
      <c r="C83" s="7" t="s">
        <v>790</v>
      </c>
      <c r="D83" s="7" t="s">
        <v>791</v>
      </c>
      <c r="E83" s="7" t="s">
        <v>792</v>
      </c>
      <c r="F83" s="7" t="s">
        <v>793</v>
      </c>
      <c r="G83" s="7" t="s">
        <v>794</v>
      </c>
      <c r="H83" s="7" t="s">
        <v>795</v>
      </c>
      <c r="I83" s="7" t="s">
        <v>796</v>
      </c>
      <c r="J83" s="7" t="s">
        <v>797</v>
      </c>
      <c r="K83" s="7" t="s">
        <v>798</v>
      </c>
      <c r="L83" s="7" t="s">
        <v>53</v>
      </c>
      <c r="M83" s="7" t="s">
        <v>799</v>
      </c>
    </row>
    <row r="84" customFormat="false" ht="15" hidden="false" customHeight="false" outlineLevel="0" collapsed="false">
      <c r="A84" s="7" t="n">
        <v>83</v>
      </c>
      <c r="B84" s="18" t="s">
        <v>24</v>
      </c>
      <c r="C84" s="7" t="s">
        <v>800</v>
      </c>
      <c r="D84" s="7" t="s">
        <v>801</v>
      </c>
      <c r="E84" s="7" t="s">
        <v>772</v>
      </c>
      <c r="F84" s="7" t="s">
        <v>802</v>
      </c>
      <c r="G84" s="7" t="s">
        <v>803</v>
      </c>
      <c r="H84" s="7" t="s">
        <v>804</v>
      </c>
      <c r="I84" s="7" t="s">
        <v>805</v>
      </c>
      <c r="J84" s="7" t="s">
        <v>806</v>
      </c>
      <c r="K84" s="7" t="s">
        <v>807</v>
      </c>
      <c r="L84" s="7" t="s">
        <v>808</v>
      </c>
      <c r="M84" s="7" t="s">
        <v>809</v>
      </c>
    </row>
    <row r="85" customFormat="false" ht="15" hidden="false" customHeight="false" outlineLevel="0" collapsed="false">
      <c r="A85" s="7" t="n">
        <v>84</v>
      </c>
      <c r="B85" s="18" t="s">
        <v>24</v>
      </c>
      <c r="C85" s="7" t="s">
        <v>810</v>
      </c>
      <c r="D85" s="7" t="s">
        <v>669</v>
      </c>
      <c r="E85" s="7" t="s">
        <v>811</v>
      </c>
      <c r="F85" s="7" t="s">
        <v>360</v>
      </c>
      <c r="G85" s="7" t="s">
        <v>812</v>
      </c>
      <c r="H85" s="7" t="s">
        <v>813</v>
      </c>
      <c r="I85" s="7" t="s">
        <v>814</v>
      </c>
      <c r="J85" s="7" t="s">
        <v>815</v>
      </c>
      <c r="K85" s="7" t="s">
        <v>816</v>
      </c>
      <c r="L85" s="7" t="s">
        <v>817</v>
      </c>
      <c r="M85" s="7" t="s">
        <v>818</v>
      </c>
    </row>
    <row r="86" customFormat="false" ht="15" hidden="false" customHeight="false" outlineLevel="0" collapsed="false">
      <c r="A86" s="7" t="n">
        <v>85</v>
      </c>
      <c r="B86" s="18" t="s">
        <v>24</v>
      </c>
      <c r="C86" s="7" t="s">
        <v>819</v>
      </c>
      <c r="D86" s="7" t="s">
        <v>712</v>
      </c>
      <c r="E86" s="7" t="s">
        <v>173</v>
      </c>
      <c r="F86" s="7" t="s">
        <v>820</v>
      </c>
      <c r="G86" s="7" t="s">
        <v>821</v>
      </c>
      <c r="H86" s="7" t="s">
        <v>822</v>
      </c>
      <c r="I86" s="7" t="s">
        <v>823</v>
      </c>
      <c r="J86" s="7" t="s">
        <v>824</v>
      </c>
      <c r="K86" s="7" t="s">
        <v>825</v>
      </c>
      <c r="L86" s="7" t="s">
        <v>826</v>
      </c>
      <c r="M86" s="7" t="s">
        <v>827</v>
      </c>
    </row>
    <row r="87" customFormat="false" ht="15" hidden="false" customHeight="false" outlineLevel="0" collapsed="false">
      <c r="A87" s="7" t="n">
        <v>86</v>
      </c>
      <c r="B87" s="18" t="s">
        <v>24</v>
      </c>
      <c r="C87" s="7" t="s">
        <v>828</v>
      </c>
      <c r="D87" s="7" t="s">
        <v>572</v>
      </c>
      <c r="E87" s="7" t="s">
        <v>173</v>
      </c>
      <c r="F87" s="7" t="s">
        <v>829</v>
      </c>
      <c r="G87" s="7" t="s">
        <v>830</v>
      </c>
      <c r="H87" s="7" t="s">
        <v>831</v>
      </c>
      <c r="I87" s="7" t="s">
        <v>832</v>
      </c>
      <c r="J87" s="7" t="s">
        <v>833</v>
      </c>
      <c r="K87" s="7" t="s">
        <v>834</v>
      </c>
      <c r="L87" s="7" t="s">
        <v>522</v>
      </c>
      <c r="M87" s="7" t="s">
        <v>835</v>
      </c>
    </row>
    <row r="88" customFormat="false" ht="15" hidden="false" customHeight="false" outlineLevel="0" collapsed="false">
      <c r="A88" s="7" t="n">
        <v>87</v>
      </c>
      <c r="B88" s="18" t="s">
        <v>24</v>
      </c>
      <c r="C88" s="7" t="s">
        <v>836</v>
      </c>
      <c r="D88" s="7" t="s">
        <v>572</v>
      </c>
      <c r="E88" s="7" t="s">
        <v>173</v>
      </c>
      <c r="F88" s="7" t="s">
        <v>837</v>
      </c>
      <c r="G88" s="7" t="s">
        <v>838</v>
      </c>
      <c r="H88" s="7" t="s">
        <v>839</v>
      </c>
      <c r="I88" s="7" t="s">
        <v>840</v>
      </c>
      <c r="J88" s="7" t="s">
        <v>841</v>
      </c>
      <c r="K88" s="7" t="s">
        <v>842</v>
      </c>
      <c r="L88" s="7" t="s">
        <v>843</v>
      </c>
      <c r="M88" s="7" t="s">
        <v>844</v>
      </c>
    </row>
    <row r="89" customFormat="false" ht="15" hidden="false" customHeight="false" outlineLevel="0" collapsed="false">
      <c r="A89" s="7" t="n">
        <v>88</v>
      </c>
      <c r="B89" s="18" t="s">
        <v>24</v>
      </c>
      <c r="C89" s="7" t="s">
        <v>845</v>
      </c>
      <c r="D89" s="7" t="s">
        <v>572</v>
      </c>
      <c r="E89" s="7" t="s">
        <v>846</v>
      </c>
      <c r="F89" s="7" t="s">
        <v>80</v>
      </c>
      <c r="G89" s="7" t="s">
        <v>847</v>
      </c>
      <c r="H89" s="7" t="s">
        <v>848</v>
      </c>
      <c r="I89" s="7" t="s">
        <v>849</v>
      </c>
      <c r="J89" s="7" t="s">
        <v>850</v>
      </c>
      <c r="K89" s="7" t="s">
        <v>851</v>
      </c>
      <c r="L89" s="7" t="s">
        <v>852</v>
      </c>
      <c r="M89" s="7" t="s">
        <v>853</v>
      </c>
    </row>
    <row r="90" customFormat="false" ht="15" hidden="false" customHeight="false" outlineLevel="0" collapsed="false">
      <c r="A90" s="7" t="n">
        <v>89</v>
      </c>
      <c r="B90" s="18" t="s">
        <v>24</v>
      </c>
      <c r="C90" s="7" t="s">
        <v>854</v>
      </c>
      <c r="D90" s="7" t="s">
        <v>572</v>
      </c>
      <c r="E90" s="7" t="s">
        <v>581</v>
      </c>
      <c r="F90" s="7" t="s">
        <v>80</v>
      </c>
      <c r="G90" s="7" t="s">
        <v>855</v>
      </c>
      <c r="H90" s="7" t="s">
        <v>706</v>
      </c>
      <c r="I90" s="7" t="s">
        <v>707</v>
      </c>
      <c r="J90" s="7" t="s">
        <v>856</v>
      </c>
      <c r="K90" s="7" t="s">
        <v>857</v>
      </c>
      <c r="L90" s="7" t="s">
        <v>587</v>
      </c>
      <c r="M90" s="7" t="s">
        <v>858</v>
      </c>
    </row>
    <row r="91" customFormat="false" ht="15" hidden="false" customHeight="false" outlineLevel="0" collapsed="false">
      <c r="A91" s="7" t="n">
        <v>90</v>
      </c>
      <c r="B91" s="18" t="s">
        <v>24</v>
      </c>
      <c r="C91" s="7" t="s">
        <v>859</v>
      </c>
      <c r="D91" s="7" t="s">
        <v>860</v>
      </c>
      <c r="E91" s="7" t="s">
        <v>861</v>
      </c>
      <c r="F91" s="7" t="s">
        <v>495</v>
      </c>
      <c r="G91" s="7" t="s">
        <v>862</v>
      </c>
      <c r="H91" s="7" t="s">
        <v>863</v>
      </c>
      <c r="I91" s="7" t="s">
        <v>864</v>
      </c>
      <c r="J91" s="7" t="s">
        <v>865</v>
      </c>
      <c r="K91" s="7" t="s">
        <v>866</v>
      </c>
      <c r="L91" s="7" t="s">
        <v>867</v>
      </c>
      <c r="M91" s="7" t="s">
        <v>868</v>
      </c>
    </row>
    <row r="92" customFormat="false" ht="15" hidden="false" customHeight="false" outlineLevel="0" collapsed="false">
      <c r="A92" s="7" t="n">
        <v>91</v>
      </c>
      <c r="B92" s="19" t="s">
        <v>26</v>
      </c>
      <c r="C92" s="7" t="s">
        <v>869</v>
      </c>
      <c r="D92" s="7" t="s">
        <v>870</v>
      </c>
      <c r="E92" s="7" t="s">
        <v>871</v>
      </c>
      <c r="F92" s="7" t="s">
        <v>142</v>
      </c>
      <c r="G92" s="7" t="s">
        <v>872</v>
      </c>
      <c r="H92" s="7" t="s">
        <v>873</v>
      </c>
      <c r="I92" s="7" t="s">
        <v>874</v>
      </c>
      <c r="J92" s="7" t="s">
        <v>875</v>
      </c>
      <c r="K92" s="7" t="s">
        <v>876</v>
      </c>
      <c r="L92" s="7" t="s">
        <v>877</v>
      </c>
      <c r="M92" s="7" t="s">
        <v>878</v>
      </c>
    </row>
    <row r="93" customFormat="false" ht="15" hidden="false" customHeight="false" outlineLevel="0" collapsed="false">
      <c r="A93" s="7" t="n">
        <v>92</v>
      </c>
      <c r="B93" s="19" t="s">
        <v>26</v>
      </c>
      <c r="C93" s="7" t="s">
        <v>879</v>
      </c>
      <c r="D93" s="7" t="s">
        <v>880</v>
      </c>
      <c r="E93" s="7" t="s">
        <v>881</v>
      </c>
      <c r="F93" s="7" t="s">
        <v>882</v>
      </c>
      <c r="G93" s="7" t="s">
        <v>883</v>
      </c>
      <c r="H93" s="7" t="s">
        <v>884</v>
      </c>
      <c r="I93" s="7" t="s">
        <v>885</v>
      </c>
      <c r="J93" s="7" t="s">
        <v>886</v>
      </c>
      <c r="K93" s="7" t="s">
        <v>887</v>
      </c>
      <c r="L93" s="7" t="s">
        <v>877</v>
      </c>
      <c r="M93" s="7" t="s">
        <v>888</v>
      </c>
    </row>
    <row r="94" customFormat="false" ht="15" hidden="false" customHeight="false" outlineLevel="0" collapsed="false">
      <c r="A94" s="7" t="n">
        <v>93</v>
      </c>
      <c r="B94" s="19" t="s">
        <v>26</v>
      </c>
      <c r="C94" s="7" t="s">
        <v>889</v>
      </c>
      <c r="D94" s="7" t="s">
        <v>890</v>
      </c>
      <c r="E94" s="7" t="s">
        <v>891</v>
      </c>
      <c r="F94" s="7" t="s">
        <v>80</v>
      </c>
      <c r="G94" s="7" t="s">
        <v>892</v>
      </c>
      <c r="H94" s="7" t="s">
        <v>893</v>
      </c>
      <c r="I94" s="7" t="s">
        <v>894</v>
      </c>
      <c r="J94" s="7" t="s">
        <v>895</v>
      </c>
      <c r="K94" s="7" t="s">
        <v>896</v>
      </c>
      <c r="L94" s="7" t="s">
        <v>877</v>
      </c>
      <c r="M94" s="7" t="s">
        <v>897</v>
      </c>
    </row>
    <row r="95" customFormat="false" ht="15" hidden="false" customHeight="false" outlineLevel="0" collapsed="false">
      <c r="A95" s="7" t="n">
        <v>94</v>
      </c>
      <c r="B95" s="19" t="s">
        <v>26</v>
      </c>
      <c r="C95" s="7" t="s">
        <v>898</v>
      </c>
      <c r="D95" s="7" t="s">
        <v>572</v>
      </c>
      <c r="E95" s="7" t="s">
        <v>899</v>
      </c>
      <c r="F95" s="7" t="s">
        <v>80</v>
      </c>
      <c r="G95" s="7" t="s">
        <v>900</v>
      </c>
      <c r="H95" s="7" t="s">
        <v>901</v>
      </c>
      <c r="I95" s="7" t="s">
        <v>902</v>
      </c>
      <c r="J95" s="7" t="s">
        <v>903</v>
      </c>
      <c r="K95" s="7" t="s">
        <v>904</v>
      </c>
      <c r="L95" s="7" t="s">
        <v>905</v>
      </c>
      <c r="M95" s="7" t="s">
        <v>906</v>
      </c>
    </row>
    <row r="96" customFormat="false" ht="15" hidden="false" customHeight="false" outlineLevel="0" collapsed="false">
      <c r="A96" s="7" t="n">
        <v>95</v>
      </c>
      <c r="B96" s="19" t="s">
        <v>26</v>
      </c>
      <c r="C96" s="7" t="s">
        <v>907</v>
      </c>
      <c r="D96" s="7" t="s">
        <v>572</v>
      </c>
      <c r="E96" s="7" t="s">
        <v>908</v>
      </c>
      <c r="F96" s="7" t="s">
        <v>80</v>
      </c>
      <c r="G96" s="7" t="s">
        <v>909</v>
      </c>
      <c r="H96" s="7" t="s">
        <v>910</v>
      </c>
      <c r="I96" s="7" t="s">
        <v>911</v>
      </c>
      <c r="J96" s="7" t="s">
        <v>912</v>
      </c>
      <c r="K96" s="7" t="s">
        <v>913</v>
      </c>
      <c r="L96" s="7" t="s">
        <v>914</v>
      </c>
      <c r="M96" s="7" t="s">
        <v>915</v>
      </c>
    </row>
    <row r="97" customFormat="false" ht="15" hidden="false" customHeight="false" outlineLevel="0" collapsed="false">
      <c r="A97" s="7" t="n">
        <v>96</v>
      </c>
      <c r="B97" s="19" t="s">
        <v>26</v>
      </c>
      <c r="C97" s="7" t="s">
        <v>916</v>
      </c>
      <c r="D97" s="7" t="s">
        <v>572</v>
      </c>
      <c r="E97" s="7" t="s">
        <v>917</v>
      </c>
      <c r="F97" s="7" t="s">
        <v>80</v>
      </c>
      <c r="G97" s="7" t="s">
        <v>918</v>
      </c>
      <c r="H97" s="7" t="s">
        <v>919</v>
      </c>
      <c r="I97" s="7" t="s">
        <v>920</v>
      </c>
      <c r="J97" s="7" t="s">
        <v>921</v>
      </c>
      <c r="K97" s="7" t="s">
        <v>922</v>
      </c>
      <c r="L97" s="7" t="s">
        <v>587</v>
      </c>
      <c r="M97" s="7" t="s">
        <v>923</v>
      </c>
    </row>
    <row r="98" customFormat="false" ht="15" hidden="false" customHeight="false" outlineLevel="0" collapsed="false">
      <c r="A98" s="7" t="n">
        <v>97</v>
      </c>
      <c r="B98" s="19" t="s">
        <v>26</v>
      </c>
      <c r="C98" s="7" t="s">
        <v>924</v>
      </c>
      <c r="D98" s="7" t="s">
        <v>925</v>
      </c>
      <c r="E98" s="7" t="s">
        <v>244</v>
      </c>
      <c r="F98" s="7" t="s">
        <v>142</v>
      </c>
      <c r="G98" s="7" t="s">
        <v>926</v>
      </c>
      <c r="H98" s="7" t="s">
        <v>927</v>
      </c>
      <c r="I98" s="7" t="s">
        <v>928</v>
      </c>
      <c r="J98" s="7" t="s">
        <v>929</v>
      </c>
      <c r="K98" s="7" t="s">
        <v>930</v>
      </c>
      <c r="L98" s="7" t="s">
        <v>931</v>
      </c>
      <c r="M98" s="7" t="s">
        <v>932</v>
      </c>
    </row>
    <row r="99" customFormat="false" ht="15" hidden="false" customHeight="false" outlineLevel="0" collapsed="false">
      <c r="A99" s="7" t="n">
        <v>98</v>
      </c>
      <c r="B99" s="19" t="s">
        <v>26</v>
      </c>
      <c r="C99" s="7" t="s">
        <v>933</v>
      </c>
      <c r="D99" s="7" t="s">
        <v>925</v>
      </c>
      <c r="E99" s="7" t="s">
        <v>934</v>
      </c>
      <c r="F99" s="7" t="s">
        <v>142</v>
      </c>
      <c r="G99" s="7" t="s">
        <v>935</v>
      </c>
      <c r="H99" s="7" t="s">
        <v>936</v>
      </c>
      <c r="I99" s="7" t="s">
        <v>937</v>
      </c>
      <c r="J99" s="7" t="s">
        <v>938</v>
      </c>
      <c r="K99" s="7" t="s">
        <v>939</v>
      </c>
      <c r="L99" s="7" t="s">
        <v>877</v>
      </c>
      <c r="M99" s="7" t="s">
        <v>940</v>
      </c>
    </row>
    <row r="100" customFormat="false" ht="15" hidden="false" customHeight="false" outlineLevel="0" collapsed="false">
      <c r="A100" s="7" t="n">
        <v>99</v>
      </c>
      <c r="B100" s="19" t="s">
        <v>26</v>
      </c>
      <c r="C100" s="7" t="s">
        <v>941</v>
      </c>
      <c r="D100" s="7" t="s">
        <v>925</v>
      </c>
      <c r="E100" s="7" t="s">
        <v>942</v>
      </c>
      <c r="F100" s="7" t="s">
        <v>142</v>
      </c>
      <c r="G100" s="7" t="s">
        <v>943</v>
      </c>
      <c r="H100" s="7" t="s">
        <v>944</v>
      </c>
      <c r="I100" s="7" t="s">
        <v>945</v>
      </c>
      <c r="J100" s="7" t="s">
        <v>946</v>
      </c>
      <c r="K100" s="7" t="s">
        <v>947</v>
      </c>
      <c r="L100" s="7" t="s">
        <v>877</v>
      </c>
      <c r="M100" s="7" t="s">
        <v>948</v>
      </c>
    </row>
    <row r="101" customFormat="false" ht="15" hidden="false" customHeight="false" outlineLevel="0" collapsed="false">
      <c r="A101" s="7" t="n">
        <v>100</v>
      </c>
      <c r="B101" s="19" t="s">
        <v>26</v>
      </c>
      <c r="C101" s="7" t="s">
        <v>949</v>
      </c>
      <c r="D101" s="7" t="s">
        <v>950</v>
      </c>
      <c r="E101" s="7" t="s">
        <v>951</v>
      </c>
      <c r="F101" s="7" t="s">
        <v>952</v>
      </c>
      <c r="G101" s="7" t="s">
        <v>953</v>
      </c>
      <c r="H101" s="7" t="s">
        <v>954</v>
      </c>
      <c r="I101" s="7" t="s">
        <v>955</v>
      </c>
      <c r="J101" s="7" t="s">
        <v>956</v>
      </c>
      <c r="K101" s="7" t="s">
        <v>957</v>
      </c>
      <c r="L101" s="7" t="s">
        <v>958</v>
      </c>
      <c r="M101" s="7" t="s">
        <v>959</v>
      </c>
    </row>
    <row r="102" customFormat="false" ht="15" hidden="false" customHeight="false" outlineLevel="0" collapsed="false">
      <c r="A102" s="7" t="n">
        <v>101</v>
      </c>
      <c r="B102" s="19" t="s">
        <v>26</v>
      </c>
      <c r="C102" s="7" t="s">
        <v>960</v>
      </c>
      <c r="D102" s="7" t="s">
        <v>961</v>
      </c>
      <c r="E102" s="7" t="s">
        <v>962</v>
      </c>
      <c r="F102" s="7" t="s">
        <v>752</v>
      </c>
      <c r="G102" s="7" t="s">
        <v>963</v>
      </c>
      <c r="H102" s="7" t="s">
        <v>964</v>
      </c>
      <c r="I102" s="7" t="s">
        <v>965</v>
      </c>
      <c r="J102" s="7" t="s">
        <v>966</v>
      </c>
      <c r="K102" s="7" t="s">
        <v>967</v>
      </c>
      <c r="L102" s="7" t="s">
        <v>299</v>
      </c>
      <c r="M102" s="7" t="s">
        <v>968</v>
      </c>
    </row>
    <row r="103" customFormat="false" ht="15" hidden="false" customHeight="false" outlineLevel="0" collapsed="false">
      <c r="A103" s="7" t="n">
        <v>102</v>
      </c>
      <c r="B103" s="19" t="s">
        <v>26</v>
      </c>
      <c r="C103" s="7" t="s">
        <v>969</v>
      </c>
      <c r="D103" s="7" t="s">
        <v>950</v>
      </c>
      <c r="E103" s="7" t="s">
        <v>970</v>
      </c>
      <c r="F103" s="7" t="s">
        <v>971</v>
      </c>
      <c r="G103" s="7" t="s">
        <v>972</v>
      </c>
      <c r="H103" s="7" t="s">
        <v>973</v>
      </c>
      <c r="I103" s="7" t="s">
        <v>974</v>
      </c>
      <c r="J103" s="7" t="s">
        <v>975</v>
      </c>
      <c r="K103" s="7" t="s">
        <v>976</v>
      </c>
      <c r="L103" s="7" t="s">
        <v>977</v>
      </c>
      <c r="M103" s="7" t="s">
        <v>978</v>
      </c>
    </row>
    <row r="104" customFormat="false" ht="15" hidden="false" customHeight="false" outlineLevel="0" collapsed="false">
      <c r="A104" s="7" t="n">
        <v>103</v>
      </c>
      <c r="B104" s="20" t="s">
        <v>28</v>
      </c>
      <c r="C104" s="7" t="s">
        <v>979</v>
      </c>
      <c r="D104" s="7" t="s">
        <v>980</v>
      </c>
      <c r="E104" s="7" t="s">
        <v>981</v>
      </c>
      <c r="F104" s="7" t="s">
        <v>982</v>
      </c>
      <c r="G104" s="7" t="s">
        <v>983</v>
      </c>
      <c r="H104" s="7" t="s">
        <v>984</v>
      </c>
      <c r="I104" s="7" t="s">
        <v>985</v>
      </c>
      <c r="J104" s="7" t="s">
        <v>986</v>
      </c>
      <c r="K104" s="7" t="s">
        <v>987</v>
      </c>
      <c r="L104" s="7" t="s">
        <v>988</v>
      </c>
      <c r="M104" s="7" t="s">
        <v>989</v>
      </c>
    </row>
    <row r="105" customFormat="false" ht="15" hidden="false" customHeight="false" outlineLevel="0" collapsed="false">
      <c r="A105" s="7" t="n">
        <v>104</v>
      </c>
      <c r="B105" s="20" t="s">
        <v>28</v>
      </c>
      <c r="C105" s="7" t="s">
        <v>990</v>
      </c>
      <c r="D105" s="7" t="s">
        <v>991</v>
      </c>
      <c r="E105" s="7" t="s">
        <v>581</v>
      </c>
      <c r="F105" s="7" t="s">
        <v>391</v>
      </c>
      <c r="G105" s="7" t="s">
        <v>992</v>
      </c>
      <c r="H105" s="7" t="s">
        <v>993</v>
      </c>
      <c r="I105" s="7" t="s">
        <v>994</v>
      </c>
      <c r="J105" s="7" t="s">
        <v>995</v>
      </c>
      <c r="K105" s="7" t="s">
        <v>996</v>
      </c>
      <c r="L105" s="7" t="s">
        <v>623</v>
      </c>
      <c r="M105" s="7" t="s">
        <v>997</v>
      </c>
    </row>
    <row r="106" customFormat="false" ht="15" hidden="false" customHeight="false" outlineLevel="0" collapsed="false">
      <c r="A106" s="7" t="n">
        <v>105</v>
      </c>
      <c r="B106" s="20" t="s">
        <v>28</v>
      </c>
      <c r="C106" s="7" t="s">
        <v>998</v>
      </c>
      <c r="D106" s="7" t="s">
        <v>999</v>
      </c>
      <c r="E106" s="7" t="s">
        <v>1000</v>
      </c>
      <c r="F106" s="7" t="s">
        <v>1001</v>
      </c>
      <c r="G106" s="7" t="s">
        <v>1002</v>
      </c>
      <c r="H106" s="7" t="s">
        <v>1003</v>
      </c>
      <c r="I106" s="7" t="s">
        <v>1004</v>
      </c>
      <c r="J106" s="7" t="s">
        <v>1005</v>
      </c>
      <c r="K106" s="7" t="s">
        <v>1006</v>
      </c>
      <c r="L106" s="7" t="s">
        <v>1007</v>
      </c>
      <c r="M106" s="7" t="s">
        <v>1008</v>
      </c>
    </row>
    <row r="107" customFormat="false" ht="15" hidden="false" customHeight="false" outlineLevel="0" collapsed="false">
      <c r="A107" s="7" t="n">
        <v>106</v>
      </c>
      <c r="B107" s="20" t="s">
        <v>28</v>
      </c>
      <c r="C107" s="7" t="s">
        <v>1009</v>
      </c>
      <c r="D107" s="7" t="s">
        <v>1010</v>
      </c>
      <c r="E107" s="7" t="s">
        <v>1011</v>
      </c>
      <c r="F107" s="7" t="s">
        <v>1012</v>
      </c>
      <c r="G107" s="7" t="s">
        <v>1013</v>
      </c>
      <c r="H107" s="7" t="s">
        <v>1014</v>
      </c>
      <c r="I107" s="7" t="s">
        <v>1015</v>
      </c>
      <c r="J107" s="7" t="s">
        <v>1016</v>
      </c>
      <c r="K107" s="7" t="s">
        <v>1017</v>
      </c>
      <c r="L107" s="7" t="s">
        <v>1018</v>
      </c>
      <c r="M107" s="7" t="s">
        <v>1019</v>
      </c>
    </row>
    <row r="108" customFormat="false" ht="15" hidden="false" customHeight="false" outlineLevel="0" collapsed="false">
      <c r="A108" s="7" t="n">
        <v>107</v>
      </c>
      <c r="B108" s="20" t="s">
        <v>28</v>
      </c>
      <c r="C108" s="7" t="s">
        <v>1020</v>
      </c>
      <c r="D108" s="7" t="s">
        <v>1021</v>
      </c>
      <c r="E108" s="7" t="s">
        <v>1022</v>
      </c>
      <c r="F108" s="7" t="s">
        <v>1023</v>
      </c>
      <c r="G108" s="7" t="s">
        <v>1024</v>
      </c>
      <c r="H108" s="7" t="s">
        <v>1025</v>
      </c>
      <c r="I108" s="7" t="s">
        <v>1026</v>
      </c>
      <c r="J108" s="7" t="s">
        <v>1027</v>
      </c>
      <c r="K108" s="7" t="s">
        <v>1028</v>
      </c>
      <c r="L108" s="7" t="s">
        <v>1029</v>
      </c>
      <c r="M108" s="7" t="s">
        <v>1030</v>
      </c>
    </row>
    <row r="109" customFormat="false" ht="15" hidden="false" customHeight="false" outlineLevel="0" collapsed="false">
      <c r="A109" s="7" t="n">
        <v>108</v>
      </c>
      <c r="B109" s="20" t="s">
        <v>28</v>
      </c>
      <c r="C109" s="7" t="s">
        <v>1031</v>
      </c>
      <c r="D109" s="7" t="s">
        <v>636</v>
      </c>
      <c r="E109" s="7" t="s">
        <v>1032</v>
      </c>
      <c r="F109" s="7" t="s">
        <v>1033</v>
      </c>
      <c r="G109" s="7" t="s">
        <v>1034</v>
      </c>
      <c r="H109" s="7" t="s">
        <v>1035</v>
      </c>
      <c r="I109" s="7" t="s">
        <v>1036</v>
      </c>
      <c r="J109" s="7" t="s">
        <v>1037</v>
      </c>
      <c r="K109" s="7" t="s">
        <v>1038</v>
      </c>
      <c r="L109" s="7" t="s">
        <v>644</v>
      </c>
      <c r="M109" s="7" t="s">
        <v>1039</v>
      </c>
    </row>
    <row r="110" customFormat="false" ht="15" hidden="false" customHeight="false" outlineLevel="0" collapsed="false">
      <c r="A110" s="7" t="n">
        <v>109</v>
      </c>
      <c r="B110" s="20" t="s">
        <v>28</v>
      </c>
      <c r="C110" s="7" t="s">
        <v>1040</v>
      </c>
      <c r="D110" s="7" t="s">
        <v>636</v>
      </c>
      <c r="E110" s="7" t="s">
        <v>1041</v>
      </c>
      <c r="F110" s="7" t="s">
        <v>1033</v>
      </c>
      <c r="G110" s="7" t="s">
        <v>1042</v>
      </c>
      <c r="H110" s="7" t="s">
        <v>1043</v>
      </c>
      <c r="I110" s="7" t="s">
        <v>1044</v>
      </c>
      <c r="J110" s="7" t="s">
        <v>1045</v>
      </c>
      <c r="K110" s="7" t="s">
        <v>1046</v>
      </c>
      <c r="L110" s="7" t="s">
        <v>522</v>
      </c>
      <c r="M110" s="7" t="s">
        <v>1047</v>
      </c>
    </row>
    <row r="111" customFormat="false" ht="15" hidden="false" customHeight="false" outlineLevel="0" collapsed="false">
      <c r="A111" s="7" t="n">
        <v>110</v>
      </c>
      <c r="B111" s="20" t="s">
        <v>28</v>
      </c>
      <c r="C111" s="7" t="s">
        <v>1048</v>
      </c>
      <c r="D111" s="7" t="s">
        <v>636</v>
      </c>
      <c r="E111" s="7" t="s">
        <v>1049</v>
      </c>
      <c r="F111" s="7" t="s">
        <v>1050</v>
      </c>
      <c r="G111" s="7" t="s">
        <v>1051</v>
      </c>
      <c r="H111" s="7" t="s">
        <v>1052</v>
      </c>
      <c r="I111" s="7" t="s">
        <v>1053</v>
      </c>
      <c r="J111" s="7" t="s">
        <v>1054</v>
      </c>
      <c r="K111" s="7" t="s">
        <v>1055</v>
      </c>
      <c r="L111" s="7" t="s">
        <v>1056</v>
      </c>
      <c r="M111" s="7" t="s">
        <v>1057</v>
      </c>
    </row>
    <row r="112" customFormat="false" ht="15" hidden="false" customHeight="false" outlineLevel="0" collapsed="false">
      <c r="A112" s="7" t="n">
        <v>111</v>
      </c>
      <c r="B112" s="20" t="s">
        <v>28</v>
      </c>
      <c r="C112" s="7" t="s">
        <v>1058</v>
      </c>
      <c r="D112" s="7" t="s">
        <v>636</v>
      </c>
      <c r="E112" s="7" t="s">
        <v>1059</v>
      </c>
      <c r="F112" s="7" t="s">
        <v>638</v>
      </c>
      <c r="G112" s="7" t="s">
        <v>1060</v>
      </c>
      <c r="H112" s="7" t="s">
        <v>1061</v>
      </c>
      <c r="I112" s="7" t="s">
        <v>1062</v>
      </c>
      <c r="J112" s="7" t="s">
        <v>1063</v>
      </c>
      <c r="K112" s="7" t="s">
        <v>1064</v>
      </c>
      <c r="L112" s="7" t="s">
        <v>1065</v>
      </c>
      <c r="M112" s="7" t="s">
        <v>1066</v>
      </c>
    </row>
    <row r="113" customFormat="false" ht="15" hidden="false" customHeight="false" outlineLevel="0" collapsed="false">
      <c r="A113" s="7" t="n">
        <v>112</v>
      </c>
      <c r="B113" s="20" t="s">
        <v>28</v>
      </c>
      <c r="C113" s="7" t="s">
        <v>1067</v>
      </c>
      <c r="D113" s="7" t="s">
        <v>733</v>
      </c>
      <c r="E113" s="7" t="s">
        <v>1068</v>
      </c>
      <c r="F113" s="7" t="s">
        <v>1069</v>
      </c>
      <c r="G113" s="7" t="s">
        <v>1070</v>
      </c>
      <c r="H113" s="7" t="s">
        <v>1071</v>
      </c>
      <c r="I113" s="7" t="s">
        <v>1072</v>
      </c>
      <c r="J113" s="7" t="s">
        <v>1073</v>
      </c>
      <c r="K113" s="7" t="s">
        <v>1074</v>
      </c>
      <c r="L113" s="7" t="s">
        <v>623</v>
      </c>
      <c r="M113" s="7" t="s">
        <v>1075</v>
      </c>
    </row>
    <row r="114" customFormat="false" ht="15" hidden="false" customHeight="false" outlineLevel="0" collapsed="false">
      <c r="A114" s="7" t="n">
        <v>113</v>
      </c>
      <c r="B114" s="20" t="s">
        <v>28</v>
      </c>
      <c r="C114" s="7" t="s">
        <v>1076</v>
      </c>
      <c r="D114" s="7" t="s">
        <v>980</v>
      </c>
      <c r="E114" s="7" t="s">
        <v>1077</v>
      </c>
      <c r="F114" s="7" t="s">
        <v>1078</v>
      </c>
      <c r="G114" s="7" t="s">
        <v>1079</v>
      </c>
      <c r="H114" s="7" t="s">
        <v>1080</v>
      </c>
      <c r="I114" s="7" t="s">
        <v>1081</v>
      </c>
      <c r="J114" s="7" t="s">
        <v>1082</v>
      </c>
      <c r="K114" s="7" t="s">
        <v>1083</v>
      </c>
      <c r="L114" s="7" t="s">
        <v>1084</v>
      </c>
      <c r="M114" s="7" t="s">
        <v>1085</v>
      </c>
    </row>
    <row r="115" customFormat="false" ht="15" hidden="false" customHeight="false" outlineLevel="0" collapsed="false">
      <c r="A115" s="7" t="n">
        <v>114</v>
      </c>
      <c r="B115" s="20" t="s">
        <v>28</v>
      </c>
      <c r="C115" s="7" t="s">
        <v>1086</v>
      </c>
      <c r="D115" s="7" t="s">
        <v>1087</v>
      </c>
      <c r="E115" s="7" t="s">
        <v>1088</v>
      </c>
      <c r="F115" s="7" t="s">
        <v>1089</v>
      </c>
      <c r="G115" s="7" t="s">
        <v>1090</v>
      </c>
      <c r="H115" s="7" t="s">
        <v>1091</v>
      </c>
      <c r="I115" s="7" t="s">
        <v>1092</v>
      </c>
      <c r="J115" s="7" t="s">
        <v>1093</v>
      </c>
      <c r="K115" s="7" t="s">
        <v>1094</v>
      </c>
      <c r="L115" s="7" t="s">
        <v>1065</v>
      </c>
      <c r="M115" s="7" t="s">
        <v>1095</v>
      </c>
    </row>
  </sheetData>
  <autoFilter ref="A1:M11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2026-09-28T07:03:43Z</dcterms:created>
  <dc:creator>openpyxl</dc:creator>
  <dc:description/>
  <dc:language>en-US</dc:language>
  <cp:lastModifiedBy/>
  <dcterms:modified xsi:type="dcterms:W3CDTF">2026-09-28T07:03:43Z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