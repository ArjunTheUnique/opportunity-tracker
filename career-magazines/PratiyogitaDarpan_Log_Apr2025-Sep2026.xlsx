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<sst xmlns="http://schemas.openxmlformats.org/spreadsheetml/2006/main" count="340" uniqueCount="222">
  <si>
    <t xml:space="preserve">Pratiyogita Darpan - Opportunities Log</t>
  </si>
  <si>
    <t xml:space="preserve">Coverage window: April 2025 - October 2026 (19 months) | Sections logged: scholarships &amp; fellowships, internships, admissions &amp; entrance exams (no government job recruitment, per scope)</t>
  </si>
  <si>
    <t xml:space="preserve">Compiled 28 September 2026 | updated 21 October 2026 with the 1-21 October 2026 scrape</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</si>
  <si>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</si>
  <si>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</si>
  <si>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</si>
  <si>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</si>
  <si>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</si>
  <si>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</si>
  <si>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</si>
  <si>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</si>
  <si>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</si>
  <si>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</si>
  <si>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</si>
  <si>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</si>
  <si>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</si>
  <si>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</si>
  <si>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</si>
  <si>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</si>
  <si>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</si>
  <si>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</si>
  <si>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</si>
  <si>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</si>
  <si>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</si>
  <si>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</si>
  <si>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</si>
  <si>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</si>
  <si>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</si>
  <si>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</si>
  <si>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</si>
  <si>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</si>
  <si>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</si>
  <si>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</si>
  <si>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</si>
  <si>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</si>
  <si>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</si>
  <si>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National Scholarship Portal (NSP) Fresh and Renewal Applications 2025-26</t>
  </si>
  <si>
    <t xml:space="preserve">Government of India ministries via NSP (Social Justice and Empowerment, Minority Affairs, Tribal Affairs)</t>
  </si>
  <si>
    <t xml:space="preserve">Pre-matric to postgraduate; school, college and university students</t>
  </si>
  <si>
    <t xml:space="preserve">Open; many schemes earmarked for SC, ST, OBC, EBC, DNT and minority students</t>
  </si>
  <si>
    <t xml:space="preserve">All</t>
  </si>
  <si>
    <t xml:space="preserve">Varies by scheme (roughly Rs 2 lakh to Rs 8 lakh family income depending on scheme)</t>
  </si>
  <si>
    <t xml:space="preserve">n/a</t>
  </si>
  <si>
    <t xml:space="preserve">Annual; Academic Year 2025-26</t>
  </si>
  <si>
    <t xml:space="preserve">Varies by scheme; maintenance allowance and tuition support paid via DBT</t>
  </si>
  <si>
    <t xml:space="preserve">Portal opened 02-06-2025; most schemes closed 31-10-2025; extended to 15-11-2025 for post-matric and top class central sector schemes</t>
  </si>
  <si>
    <t xml:space="preserve">Closed</t>
  </si>
  <si>
    <t xml:space="preserve">2025-06;2025-07</t>
  </si>
  <si>
    <t xml:space="preserve">https://scholarships.gov.in</t>
  </si>
  <si>
    <t xml:space="preserve">https://stageweb.iist.ac.in/sites/default/files/2025-10/Letter%20to%20265%20institutions%20regarding%20NSP%20portal%20opening%20for%20the%20Year%202025-26.pdf</t>
  </si>
  <si>
    <t xml:space="preserve">Dates verified from official NSP timeline letter; appearance in a specific PD issue not directly sighted, PD routinely lists NSP deadlines in its monthly career guidance sections</t>
  </si>
  <si>
    <t xml:space="preserve">PM YASASVI Central Sector Scheme of Top Class Education in Schools for OBC, EBC and DNT Students 2025-26</t>
  </si>
  <si>
    <t xml:space="preserve">Ministry of Social Justice and Empowerment, Government of India</t>
  </si>
  <si>
    <t xml:space="preserve">Class 9 to Class 12 in notified Top Class Schools</t>
  </si>
  <si>
    <t xml:space="preserve">OBC, EBC and DNT students</t>
  </si>
  <si>
    <t xml:space="preserve">All; at least 30 per cent of slots reserved for girls</t>
  </si>
  <si>
    <t xml:space="preserve">Family income up to Rs 2.5 lakh per annum</t>
  </si>
  <si>
    <t xml:space="preserve">Rs 75,000 per year for Classes 9-10; Rs 1,25,000 per year for Classes 11-12</t>
  </si>
  <si>
    <t xml:space="preserve">Applications 02-06-2025 to 31-08-2025 via NSP; merit based with no entrance test in 2025</t>
  </si>
  <si>
    <t xml:space="preserve">2025-06</t>
  </si>
  <si>
    <t xml:space="preserve">https://www.aubsp.com/pm-yasasvi-scholarship/</t>
  </si>
  <si>
    <t xml:space="preserve">Scheme details verified from official scheme guidelines and coverage; specific PD issue not directly sighted, item falls within the magazine's standard scholarship coverage</t>
  </si>
  <si>
    <t xml:space="preserve">INSPIRE Faculty Fellowship Call 2025</t>
  </si>
  <si>
    <t xml:space="preserve">Department of Science and Technology (DST), Government of India</t>
  </si>
  <si>
    <t xml:space="preserve">Early-career researchers with PhD; postdoctoral fellowship at Indian host institutions</t>
  </si>
  <si>
    <t xml:space="preserve">Open to all</t>
  </si>
  <si>
    <t xml:space="preserve">As per DST call norms</t>
  </si>
  <si>
    <t xml:space="preserve">Annual call</t>
  </si>
  <si>
    <t xml:space="preserve">Research fellowship and grant as per DST norms</t>
  </si>
  <si>
    <t xml:space="preserve">Call open 15-08-2025 to 14-09-2025</t>
  </si>
  <si>
    <t xml:space="preserve">2025-08</t>
  </si>
  <si>
    <t xml:space="preserve">https://www.online-inspire.gov.in</t>
  </si>
  <si>
    <t xml:space="preserve">https://www.online-inspire.gov.in/</t>
  </si>
  <si>
    <t xml:space="preserve">Window verified from the official INSPIRE portal homepage; PD issue appearance inferred from the magazine's routine research-fellowship coverage</t>
  </si>
  <si>
    <t xml:space="preserve">INSPIRE Scholarship for Higher Education (SHE) 2025 call</t>
  </si>
  <si>
    <t xml:space="preserve">BSc, BS, Integrated MSc and MS in basic and natural sciences for top Class 12 performers</t>
  </si>
  <si>
    <t xml:space="preserve">17 to 22 years per scheme norms</t>
  </si>
  <si>
    <t xml:space="preserve">Annual (2025 call)</t>
  </si>
  <si>
    <t xml:space="preserve">12,000 scholarships worth Rs 80,000 per year (Rs 5,000 per month plus Rs 20,000 summer mentorship grant)</t>
  </si>
  <si>
    <t xml:space="preserve">2025 call NOT issued; DST clarified in July 2026 the scheme is being redesigned with no timeline announced</t>
  </si>
  <si>
    <t xml:space="preserve">Dates TBA</t>
  </si>
  <si>
    <t xml:space="preserve">2026-07</t>
  </si>
  <si>
    <t xml:space="preserve">https://news.careers360.com/dst-clarifies-inspire-she-scholarship-not-scrapped-scheme-redesign-delay-2025-notification</t>
  </si>
  <si>
    <t xml:space="preserve">No 2025 notification was released; delay and redesign widely covered by career media in the window; included as a well-known PD-type item, not directly sighted in a PD issue</t>
  </si>
  <si>
    <t xml:space="preserve">National Scholarship Portal 2026-27 cycle including PM YASASVI schemes (renewal and fresh)</t>
  </si>
  <si>
    <t xml:space="preserve">Government of India ministries via NSP (Social Justice and Empowerment and others)</t>
  </si>
  <si>
    <t xml:space="preserve">Pre-matric to postgraduate; school and college students</t>
  </si>
  <si>
    <t xml:space="preserve">Open; PM YASASVI schemes for OBC, EBC and DNT students</t>
  </si>
  <si>
    <t xml:space="preserve">All; 30 per cent of YASASVI slots reserved for girls</t>
  </si>
  <si>
    <t xml:space="preserve">Varies by scheme</t>
  </si>
  <si>
    <t xml:space="preserve">Annual; Academic Year 2026-27</t>
  </si>
  <si>
    <t xml:space="preserve">Varies by scheme (YASASVI up to Rs 75,000 to Rs 1,25,000 per year)</t>
  </si>
  <si>
    <t xml:space="preserve">Portal opened 01-06-2026; renewal applications for school scheme open till 30-09-2026; college scheme fresh till 31-10-2026</t>
  </si>
  <si>
    <t xml:space="preserve">Open now</t>
  </si>
  <si>
    <t xml:space="preserve">2026-06</t>
  </si>
  <si>
    <t xml:space="preserve">https://scholarships.gov.in/All-Scholarships</t>
  </si>
  <si>
    <t xml:space="preserve">Live dates taken from the official NSP schemes page in September 2026; PD issue appearance inferred from the magazine's standard NSP coverage</t>
  </si>
  <si>
    <t xml:space="preserve">Scholarship initiative with six international universities launching India campuses (Rs 1,000 crore programme)</t>
  </si>
  <si>
    <t xml:space="preserve">University of Aberdeen, University of Bristol, Illinois Institute of Technology, University of Liverpool, Victoria University, University of York</t>
  </si>
  <si>
    <t xml:space="preserve">Undergraduate and postgraduate programmes with focus on AI and STEM</t>
  </si>
  <si>
    <t xml:space="preserve">One-time announcement (April 2026)</t>
  </si>
  <si>
    <t xml:space="preserve">Tuition waivers from 10 to 100 per cent for UG and PG students; fees expected 30 to 40 per cent lower than studying abroad</t>
  </si>
  <si>
    <t xml:space="preserve">Proposed intake Aug to Sep 2026</t>
  </si>
  <si>
    <t xml:space="preserve">2026-04</t>
  </si>
  <si>
    <t xml:space="preserve">https://www.pdgroup.in</t>
  </si>
  <si>
    <t xml:space="preserve">https://www.linkedin.com/posts/pratiyogita-darpan-official_highereducation-globaleducation-ai-activity-7450528369617584128-PVj0</t>
  </si>
  <si>
    <t xml:space="preserve">Covered directly by Pratiyogita Darpan's official LinkedIn channel in April 2026; this is direct PD online coverage rather than a print issue sighting</t>
  </si>
  <si>
    <t xml:space="preserve">Prime Minister Internship Scheme (PMIS) Pilot Round 2</t>
  </si>
  <si>
    <t xml:space="preserve">Ministry of Corporate Affairs, Government of India</t>
  </si>
  <si>
    <t xml:space="preserve">Youth not in full-time education or employment (Class 10 pass to graduates)</t>
  </si>
  <si>
    <t xml:space="preserve">Not stated in cited sources; scheme norms apply</t>
  </si>
  <si>
    <t xml:space="preserve">21 to 24 years</t>
  </si>
  <si>
    <t xml:space="preserve">Pilot Round 2 of PMIS (Jan to Apr 2025)</t>
  </si>
  <si>
    <t xml:space="preserve">Rs 5,000 per month for 12 months plus one-time Rs 6,000 grant; no application fee; 1.18 lakh-plus internships across 735 districts</t>
  </si>
  <si>
    <t xml:space="preserve">Applications ran through Round 2; deadline extended from 31-03-2025 to 15-04-2025</t>
  </si>
  <si>
    <t xml:space="preserve">2025-04</t>
  </si>
  <si>
    <t xml:space="preserve">https://pminternship.mca.gov.in</t>
  </si>
  <si>
    <t xml:space="preserve">https://economictimes.indiatimes.com/wealth/save/pm-internship-scheme-deadline-extended-apply-now-for-rs-5000-monthly-stipend-rs-6000-grant/articleshow/119898752.cms</t>
  </si>
  <si>
    <t xml:space="preserve">Stipend, eligibility and extended deadline verified from ET coverage and PIB releases; specific PD issue not directly sighted, scheme was a major youth-opportunity story in the window</t>
  </si>
  <si>
    <t xml:space="preserve">Common University Entrance Test (CUET UG) 2025</t>
  </si>
  <si>
    <t xml:space="preserve">National Testing Agency (NTA)</t>
  </si>
  <si>
    <t xml:space="preserve">Undergraduate programmes in central, state, deemed and private participating universities</t>
  </si>
  <si>
    <t xml:space="preserve">Annual</t>
  </si>
  <si>
    <t xml:space="preserve">Application fee as per NTA bulletin</t>
  </si>
  <si>
    <t xml:space="preserve">Online applications 01-03-2025 to 22-03-2025; exam 08-05-2025 to 01-06-2025 in CBT mode</t>
  </si>
  <si>
    <t xml:space="preserve">https://cuet.nta.nic.in</t>
  </si>
  <si>
    <t xml:space="preserve">https://www.hnbgu.ac.in/sites/default/files/2025-03/CUET%20%28UG%29%202025-2026%20Notification_0.pdf</t>
  </si>
  <si>
    <t xml:space="preserve">Dates verified from the official NTA public notice; notification and exam dates fall squarely in PD's routine entrance-exam coverage, specific issue not directly sighted</t>
  </si>
  <si>
    <t xml:space="preserve">UGC NET June 2025</t>
  </si>
  <si>
    <t xml:space="preserve">National Testing Agency on behalf of University Grants Commission</t>
  </si>
  <si>
    <t xml:space="preserve">Junior Research Fellowship, Assistant Professor eligibility and PhD admission</t>
  </si>
  <si>
    <t xml:space="preserve">Twice yearly (June cycle 2025)</t>
  </si>
  <si>
    <t xml:space="preserve">Fee Rs 1,150 general; Rs 600 Gen-EWS and OBC-NCL; Rs 325 SC, ST, PwD and third gender</t>
  </si>
  <si>
    <t xml:space="preserve">Applications 16-04-2025 to 12-05-2025 (extended from 07-05-2025); exam 25-06-2025 to 29-06-2025</t>
  </si>
  <si>
    <t xml:space="preserve">2025-05</t>
  </si>
  <si>
    <t xml:space="preserve">https://ugcnet.nta.ac.in</t>
  </si>
  <si>
    <t xml:space="preserve">https://ugcnet.nta.ac.in/images/public-notice-for-extension-of-dates-for-ugc-net-june-2025.pdf</t>
  </si>
  <si>
    <t xml:space="preserve">Dates and fee verified from the official NTA bulletin and extension notice; PD issue appearance inferred from standard coverage</t>
  </si>
  <si>
    <t xml:space="preserve">Xavier Aptitude Test (XAT) 2026</t>
  </si>
  <si>
    <t xml:space="preserve">XLRI Jamshedpur on behalf of XAMI</t>
  </si>
  <si>
    <t xml:space="preserve">MBA and PGDM at XLRI and 250-plus associated institutes</t>
  </si>
  <si>
    <t xml:space="preserve">Registration fee Rs 2,200</t>
  </si>
  <si>
    <t xml:space="preserve">Registration 10-07-2025 to 05-12-2025 (extended to 11-12-2025); exam 04-01-2026, 2 pm to 5 pm, single shift CBT</t>
  </si>
  <si>
    <t xml:space="preserve">2025-07</t>
  </si>
  <si>
    <t xml:space="preserve">https://xatonline.in</t>
  </si>
  <si>
    <t xml:space="preserve">https://news.careers360.com/xat-2026-registration-begins-at-xatonline-in-apply-december-5-exam-fee</t>
  </si>
  <si>
    <t xml:space="preserve">Dates verified from the XAT 2026 bulletin and news coverage; PD issue appearance inferred from the magazine's routine MBA-exam coverage</t>
  </si>
  <si>
    <t xml:space="preserve">Common Law Admission Test (CLAT) 2026</t>
  </si>
  <si>
    <t xml:space="preserve">Consortium of National Law Universities</t>
  </si>
  <si>
    <t xml:space="preserve">Five-year integrated LLB and one-year LLM at NLUs</t>
  </si>
  <si>
    <t xml:space="preserve">Application fee as per Consortium schedule</t>
  </si>
  <si>
    <t xml:space="preserve">Applications 01-08-2025 to 31-10-2025 (extended to 07-11-2025); exam 07-12-2025, 2 pm to 4 pm</t>
  </si>
  <si>
    <t xml:space="preserve">https://consortiumofnlus.ac.in</t>
  </si>
  <si>
    <t xml:space="preserve">https://consortiumofnlus.ac.in/clat-2026/notifications/clat-2026-press-release.pdf</t>
  </si>
  <si>
    <t xml:space="preserve">Dates verified from official Consortium press release and extension notification; PD issue appearance inferred from standard law-exam coverage</t>
  </si>
  <si>
    <t xml:space="preserve">Common Admission Test (CAT) 2025</t>
  </si>
  <si>
    <t xml:space="preserve">Indian Institute of Management Kozhikode</t>
  </si>
  <si>
    <t xml:space="preserve">MBA and postgraduate management programmes at IIMs and leading B-schools</t>
  </si>
  <si>
    <t xml:space="preserve">Registration fee Rs 2,600 (General, EWS, NC-OBC); Rs 1,300 (SC, ST, PwD)</t>
  </si>
  <si>
    <t xml:space="preserve">Registration 01-08-2025 to 20-09-2025 (extended from 13-09-2025); exam 30-11-2025 in three sessions</t>
  </si>
  <si>
    <t xml:space="preserve">https://iimcat.ac.in</t>
  </si>
  <si>
    <t xml:space="preserve">https://indianexpress.com/article/education/cat-2025-application-last-date-iim-mba-iimcat-ac-in-extends-10243508/</t>
  </si>
  <si>
    <t xml:space="preserve">Dates and fee verified from the IIM media release and news coverage; PD issue appearance inferred from standard MBA-exam coverage</t>
  </si>
  <si>
    <t xml:space="preserve">Graduate Aptitude Test in Engineering (GATE) 2026</t>
  </si>
  <si>
    <t xml:space="preserve">IIT Guwahati on behalf of IISc and IITs (NCB, Ministry of Education)</t>
  </si>
  <si>
    <t xml:space="preserve">Master's, direct doctoral and doctoral admissions in Engineering, Science, Commerce, Arts and Humanities</t>
  </si>
  <si>
    <t xml:space="preserve">No age limit</t>
  </si>
  <si>
    <t xml:space="preserve">Application fee per category (regular period 28-08-2025 to 25/28-09-2025; late fee window up to 13-10-2025)</t>
  </si>
  <si>
    <t xml:space="preserve">Applications 28-08-2025 to 07-10-2025; exams 07-02-2026, 08-02-2026, 14-02-2026 and 15-02-2026; results 19-03-2026</t>
  </si>
  <si>
    <t xml:space="preserve">2025-09</t>
  </si>
  <si>
    <t xml:space="preserve">https://gate2026.iitg.ac.in</t>
  </si>
  <si>
    <t xml:space="preserve">https://gate2026.iitg.ac.in/important-dates.html</t>
  </si>
  <si>
    <t xml:space="preserve">All dates verified from the official GATE 2026 important-dates page; PD issue appearance inferred from the magazine's routine GATE coverage</t>
  </si>
  <si>
    <t xml:space="preserve">Joint Entrance Examination (JEE Main) 2026 Session 1</t>
  </si>
  <si>
    <t xml:space="preserve">BE, BTech, BArch and BPlanning at NITs, IIITs and CFTIs; qualifier for JEE Advanced</t>
  </si>
  <si>
    <t xml:space="preserve">Twice yearly (Session 1 of 2026)</t>
  </si>
  <si>
    <t xml:space="preserve">Application fee per NTA schedule</t>
  </si>
  <si>
    <t xml:space="preserve">Applications 31-10-2025 to 27-11-2025; exam 21-01-2026 to 30-01-2026; Session 2 applications from last week of January 2026 with exam 01-10 April 2026</t>
  </si>
  <si>
    <t xml:space="preserve">2025-11</t>
  </si>
  <si>
    <t xml:space="preserve">https://jeemain.nta.nic.in</t>
  </si>
  <si>
    <t xml:space="preserve">https://timesofindia.indiatimes.com/education/news/jee-main-2026-session-1-registration-window-closes-today-check-direct-link-to-apply-and-key-details-here/articleshow/125603936.cms</t>
  </si>
  <si>
    <t xml:space="preserve">Dates verified from NTA advisory and news coverage; PD issue appearance inferred from the magazine's routine JEE coverage</t>
  </si>
  <si>
    <t xml:space="preserve">National Defence Academy and Naval Academy Examination (I) 2026</t>
  </si>
  <si>
    <t xml:space="preserve">Union Public Service Commission (UPSC)</t>
  </si>
  <si>
    <t xml:space="preserve">Admission to Army, Navy and Air Force wings of NDA (157th Course) and 119th Indian Naval Academy Course</t>
  </si>
  <si>
    <t xml:space="preserve">Unmarried male and female candidates</t>
  </si>
  <si>
    <t xml:space="preserve">Born not earlier than 02-07-2007 and not later than 01-07-2010</t>
  </si>
  <si>
    <t xml:space="preserve">Twice yearly (I of 2026)</t>
  </si>
  <si>
    <t xml:space="preserve">Application fee per UPSC notification</t>
  </si>
  <si>
    <t xml:space="preserve">Notification 10-12-2025; applications 10-12-2025 to 30-12-2025; exam 12-04-2026</t>
  </si>
  <si>
    <t xml:space="preserve">2025-12</t>
  </si>
  <si>
    <t xml:space="preserve">https://upsconline.nic.in</t>
  </si>
  <si>
    <t xml:space="preserve">https://www.upsc.gov.in/sites/default/files/Notif-NDA-NA-I-2026-Engl-101225.pdf</t>
  </si>
  <si>
    <t xml:space="preserve">All details verified from the official UPSC notification; defence academy admissions are a PD staple, specific issue not directly sighted</t>
  </si>
  <si>
    <t xml:space="preserve">Common University Entrance Test (CUET PG) 2026</t>
  </si>
  <si>
    <t xml:space="preserve">Postgraduate programmes in central and participating universities</t>
  </si>
  <si>
    <t xml:space="preserve">Fee varies by number of test papers (up to four); Rs 7,000 for centres outside India</t>
  </si>
  <si>
    <t xml:space="preserve">Applications 14-12-2025 to 14-01-2026 (extended to 20-01-2026); exam 06-03-2026 to 27-03-2026</t>
  </si>
  <si>
    <t xml:space="preserve">https://exams.nta.nic.in/cuet-pg/</t>
  </si>
  <si>
    <t xml:space="preserve">https://cdnbbsr.s3waas.gov.in/s388a839f2f6f1427879fc33ee4acf4f66/uploads/2025/12/202512161583029269.pdf</t>
  </si>
  <si>
    <t xml:space="preserve">Dates verified from the official NTA information bulletin; PD issue appearance inferred from standard coverage</t>
  </si>
  <si>
    <t xml:space="preserve">Common University Entrance Test (CUET UG) 2026</t>
  </si>
  <si>
    <t xml:space="preserve">Applications 03-01-2026 to 30-01-2026 (extended to 04-02-2026; reopened 23-02-2026 to 26-02-2026); exam 11-05-2026 to 31-05-2026 in CBT mode</t>
  </si>
  <si>
    <t xml:space="preserve">2026-01</t>
  </si>
  <si>
    <t xml:space="preserve">https://cutn.ac.in/wp-content/uploads/2026/01/CUET-UG-2026-Information-Bulletin_05012026.pdf</t>
  </si>
  <si>
    <t xml:space="preserve">Dates verified from the official CUET UG 2026 information bulletin; PD issue appearance inferred from standard coverage</t>
  </si>
  <si>
    <t xml:space="preserve">National Eligibility cum Entrance Test (NEET UG) 2026</t>
  </si>
  <si>
    <t xml:space="preserve">MBBS, BDS, AYUSH (BAMS, BUMS, BSMS, BHMS), BVSc and AH, and MNS BSc Nursing admission</t>
  </si>
  <si>
    <t xml:space="preserve">Fee per NTA bulletin (general category Rs 1,000 plus processing charges and GST as per notice)</t>
  </si>
  <si>
    <t xml:space="preserve">Applications 08-02-2026 to 08-03-2026 (extended to 11-03-2026); exam 03-05-2026, 2 pm to 5 pm</t>
  </si>
  <si>
    <t xml:space="preserve">2026-02</t>
  </si>
  <si>
    <t xml:space="preserve">https://neet.nta.nic.in</t>
  </si>
  <si>
    <t xml:space="preserve">https://cdnbbsr.s3waas.gov.in/s37bc1ec1d9c3426357e69acd5bf320061/uploads/2026/02/20260208399987696.pdf</t>
  </si>
  <si>
    <t xml:space="preserve">Dates verified from the official NTA public notice; PD issue appearance inferred from the magazine's routine medical-entrance coverage</t>
  </si>
  <si>
    <t xml:space="preserve">National Defence Academy and Naval Academy Examination (II) 2026</t>
  </si>
  <si>
    <t xml:space="preserve">Admission to Army, Navy and Air Force wings of NDA and Indian Naval Academy Course</t>
  </si>
  <si>
    <t xml:space="preserve">Per UPSC notification (born approx 2008-2011 as per NDA II 2026 norms)</t>
  </si>
  <si>
    <t xml:space="preserve">Twice yearly (II of 2026)</t>
  </si>
  <si>
    <t xml:space="preserve">Notification 20-05-2026; applications till 11-06-2026 6 pm; exam 13-09-2026; provisional answer keys released 16-09-2026</t>
  </si>
  <si>
    <t xml:space="preserve">2026-05</t>
  </si>
  <si>
    <t xml:space="preserve">https://www.upsc.gov.in/examinations/National%20Defence%20Academy%20and%20Naval%20Academy%20Examination%20%28II%29%2C%202026</t>
  </si>
  <si>
    <t xml:space="preserve">Key dates verified from the official UPSC examination page; note last date is 11-06-2026; PD issue appearance inferred from standard defence coverage</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</si>
</sst>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FC7CE"/>
        <bgColor rgb="FFEDEDED"/>
      </patternFill>
    </fill>
    <fill>
      <patternFill patternType="solid">
        <fgColor rgb="FFEDEDED"/>
        <bgColor rgb="FFFFFFFF"/>
      </patternFill>
    </fill>
    <fill>
      <patternFill patternType="solid">
        <fgColor rgb="FFC6EFCE"/>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95"/>
    <col collapsed="false" customWidth="true" hidden="false" outlineLevel="0" max="4" min="4" style="1" width="16"/>
  </cols>
  <sheetData>
    <row r="2" customFormat="false" ht="1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3" t="s">
        <v>2</v>
      </c>
    </row>
    <row r="6" customFormat="false" ht="15" hidden="false" customHeight="true" outlineLevel="0" collapsed="false">
      <c r="B6" s="4" t="s">
        <v>3</v>
      </c>
    </row>
    <row r="7" customFormat="false" ht="15" hidden="false" customHeight="true" outlineLevel="0" collapsed="false">
      <c r="B7" s="5" t="s">
        <v>4</v>
      </c>
      <c r="C7" s="5"/>
      <c r="D7" s="5"/>
    </row>
    <row r="8" customFormat="false" ht="15" hidden="false" customHeight="true" outlineLevel="0" collapsed="false">
      <c r="B8" s="5"/>
      <c r="C8" s="5"/>
      <c r="D8" s="5"/>
    </row>
    <row r="9" customFormat="false" ht="15" hidden="false" customHeight="true" outlineLevel="0" collapsed="false">
      <c r="B9" s="5" t="s">
        <v>5</v>
      </c>
      <c r="C9" s="5"/>
      <c r="D9" s="5"/>
    </row>
    <row r="10" customFormat="false" ht="15" hidden="false" customHeight="true" outlineLevel="0" collapsed="false">
      <c r="B10" s="5"/>
      <c r="C10" s="5"/>
      <c r="D10" s="5"/>
    </row>
    <row r="11" customFormat="false" ht="15" hidden="false" customHeight="true" outlineLevel="0" collapsed="false">
      <c r="B11" s="5" t="s">
        <v>6</v>
      </c>
      <c r="C11" s="5"/>
      <c r="D11" s="5"/>
    </row>
    <row r="12" customFormat="false" ht="15" hidden="false" customHeight="true" outlineLevel="0" collapsed="false">
      <c r="B12" s="5"/>
      <c r="C12" s="5"/>
      <c r="D12" s="5"/>
    </row>
    <row r="13" customFormat="false" ht="15" hidden="false" customHeight="true" outlineLevel="0" collapsed="false">
      <c r="B13" s="5" t="s">
        <v>7</v>
      </c>
      <c r="C13" s="5"/>
      <c r="D13" s="5"/>
    </row>
    <row r="14" customFormat="false" ht="15" hidden="false" customHeight="true" outlineLevel="0" collapsed="false">
      <c r="B14" s="5"/>
      <c r="C14" s="5"/>
      <c r="D14" s="5"/>
    </row>
    <row r="17" customFormat="false" ht="15" hidden="false" customHeight="true" outlineLevel="0" collapsed="false">
      <c r="B17" s="4" t="s">
        <v>8</v>
      </c>
    </row>
    <row r="18" customFormat="false" ht="15" hidden="false" customHeight="true" outlineLevel="0" collapsed="false">
      <c r="B18" s="6" t="s">
        <v>9</v>
      </c>
      <c r="C18" s="6" t="s">
        <v>10</v>
      </c>
      <c r="D18" s="6" t="s">
        <v>11</v>
      </c>
    </row>
    <row r="19" customFormat="false" ht="15" hidden="false" customHeight="true" outlineLevel="0" collapsed="false">
      <c r="B19" s="7" t="s">
        <v>12</v>
      </c>
      <c r="C19" s="8" t="s">
        <v>13</v>
      </c>
      <c r="D19" s="9" t="n">
        <f aca="false">COUNTIF(Log!B2:B300,"Scholarship / Fellowship")</f>
        <v>6</v>
      </c>
    </row>
    <row r="20" customFormat="false" ht="15" hidden="false" customHeight="true" outlineLevel="0" collapsed="false">
      <c r="B20" s="7" t="s">
        <v>14</v>
      </c>
      <c r="C20" s="8" t="s">
        <v>15</v>
      </c>
      <c r="D20" s="9" t="n">
        <f aca="false">COUNTIF(Log!B2:B300,"Internship")</f>
        <v>1</v>
      </c>
    </row>
    <row r="21" customFormat="false" ht="15" hidden="false" customHeight="true" outlineLevel="0" collapsed="false">
      <c r="B21" s="7" t="s">
        <v>16</v>
      </c>
      <c r="C21" s="8" t="s">
        <v>17</v>
      </c>
      <c r="D21" s="9" t="n">
        <f aca="false">COUNTIF(Log!B2:B300,"Admission / Entrance Exam")</f>
        <v>12</v>
      </c>
    </row>
    <row r="23" customFormat="false" ht="15" hidden="false" customHeight="true" outlineLevel="0" collapsed="false">
      <c r="B23" s="10" t="s">
        <v>18</v>
      </c>
      <c r="D23" s="11" t="n">
        <f aca="false">COUNTA(Log!A2:A300)</f>
        <v>19</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
    <col collapsed="false" customWidth="true" hidden="false" outlineLevel="0" max="2" min="2" style="1" width="17"/>
    <col collapsed="false" customWidth="true" hidden="false" outlineLevel="0" max="3" min="3" style="1" width="40"/>
    <col collapsed="false" customWidth="true" hidden="false" outlineLevel="0" max="4" min="4" style="1" width="30"/>
    <col collapsed="false" customWidth="true" hidden="false" outlineLevel="0" max="5" min="5" style="1" width="38"/>
    <col collapsed="false" customWidth="true" hidden="false" outlineLevel="0" max="6" min="6" style="1" width="20"/>
    <col collapsed="false" customWidth="true" hidden="false" outlineLevel="0" max="7" min="7" style="1" width="10"/>
    <col collapsed="false" customWidth="true" hidden="false" outlineLevel="0" max="8" min="8" style="1" width="16"/>
    <col collapsed="false" customWidth="true" hidden="false" outlineLevel="0" max="9" min="9" style="1" width="12"/>
    <col collapsed="false" customWidth="true" hidden="false" outlineLevel="0" max="10" min="10" style="1" width="18"/>
    <col collapsed="false" customWidth="true" hidden="false" outlineLevel="0" max="12" min="11" style="1" width="26"/>
    <col collapsed="false" customWidth="true" hidden="false" outlineLevel="0" max="13" min="13" style="1" width="12"/>
    <col collapsed="false" customWidth="true" hidden="false" outlineLevel="0" max="14" min="14" style="1" width="13"/>
    <col collapsed="false" customWidth="true" hidden="false" outlineLevel="0" max="15" min="15" style="1" width="30"/>
    <col collapsed="false" customWidth="true" hidden="false" outlineLevel="0" max="16" min="16" style="1" width="34"/>
    <col collapsed="false" customWidth="true" hidden="false" outlineLevel="0" max="17" min="17" style="1" width="38"/>
  </cols>
  <sheetData>
    <row r="1" customFormat="false" ht="15" hidden="false" customHeight="true" outlineLevel="0" collapsed="false">
      <c r="A1" s="12" t="s">
        <v>19</v>
      </c>
      <c r="B1" s="12" t="s">
        <v>20</v>
      </c>
      <c r="C1" s="12" t="s">
        <v>21</v>
      </c>
      <c r="D1" s="12" t="s">
        <v>22</v>
      </c>
      <c r="E1" s="12" t="s">
        <v>23</v>
      </c>
      <c r="F1" s="12" t="s">
        <v>24</v>
      </c>
      <c r="G1" s="12" t="s">
        <v>25</v>
      </c>
      <c r="H1" s="12" t="s">
        <v>26</v>
      </c>
      <c r="I1" s="12" t="s">
        <v>27</v>
      </c>
      <c r="J1" s="12" t="s">
        <v>28</v>
      </c>
      <c r="K1" s="12" t="s">
        <v>29</v>
      </c>
      <c r="L1" s="12" t="s">
        <v>30</v>
      </c>
      <c r="M1" s="12" t="s">
        <v>31</v>
      </c>
      <c r="N1" s="12" t="s">
        <v>32</v>
      </c>
      <c r="O1" s="12" t="s">
        <v>33</v>
      </c>
      <c r="P1" s="12" t="s">
        <v>34</v>
      </c>
      <c r="Q1" s="12" t="s">
        <v>35</v>
      </c>
    </row>
    <row r="2" customFormat="false" ht="15" hidden="false" customHeight="true" outlineLevel="0" collapsed="false">
      <c r="A2" s="8" t="n">
        <v>1</v>
      </c>
      <c r="B2" s="8" t="s">
        <v>12</v>
      </c>
      <c r="C2" s="8" t="s">
        <v>36</v>
      </c>
      <c r="D2" s="8" t="s">
        <v>37</v>
      </c>
      <c r="E2" s="8" t="s">
        <v>38</v>
      </c>
      <c r="F2" s="8" t="s">
        <v>39</v>
      </c>
      <c r="G2" s="8" t="s">
        <v>40</v>
      </c>
      <c r="H2" s="8" t="s">
        <v>41</v>
      </c>
      <c r="I2" s="8" t="s">
        <v>42</v>
      </c>
      <c r="J2" s="8" t="s">
        <v>43</v>
      </c>
      <c r="K2" s="8" t="s">
        <v>44</v>
      </c>
      <c r="L2" s="8" t="s">
        <v>45</v>
      </c>
      <c r="M2" s="13" t="s">
        <v>46</v>
      </c>
      <c r="N2" s="8" t="s">
        <v>47</v>
      </c>
      <c r="O2" s="8" t="s">
        <v>48</v>
      </c>
      <c r="P2" s="8" t="s">
        <v>49</v>
      </c>
      <c r="Q2" s="8" t="s">
        <v>50</v>
      </c>
    </row>
    <row r="3" customFormat="false" ht="15" hidden="false" customHeight="true" outlineLevel="0" collapsed="false">
      <c r="A3" s="8" t="n">
        <v>2</v>
      </c>
      <c r="B3" s="8" t="s">
        <v>12</v>
      </c>
      <c r="C3" s="8" t="s">
        <v>51</v>
      </c>
      <c r="D3" s="8" t="s">
        <v>52</v>
      </c>
      <c r="E3" s="8" t="s">
        <v>53</v>
      </c>
      <c r="F3" s="8" t="s">
        <v>54</v>
      </c>
      <c r="G3" s="8" t="s">
        <v>55</v>
      </c>
      <c r="H3" s="8" t="s">
        <v>56</v>
      </c>
      <c r="I3" s="8" t="s">
        <v>42</v>
      </c>
      <c r="J3" s="8" t="s">
        <v>43</v>
      </c>
      <c r="K3" s="8" t="s">
        <v>57</v>
      </c>
      <c r="L3" s="8" t="s">
        <v>58</v>
      </c>
      <c r="M3" s="13" t="s">
        <v>46</v>
      </c>
      <c r="N3" s="8" t="s">
        <v>59</v>
      </c>
      <c r="O3" s="8" t="s">
        <v>48</v>
      </c>
      <c r="P3" s="8" t="s">
        <v>60</v>
      </c>
      <c r="Q3" s="8" t="s">
        <v>61</v>
      </c>
    </row>
    <row r="4" customFormat="false" ht="15" hidden="false" customHeight="true" outlineLevel="0" collapsed="false">
      <c r="A4" s="8" t="n">
        <v>3</v>
      </c>
      <c r="B4" s="8" t="s">
        <v>12</v>
      </c>
      <c r="C4" s="8" t="s">
        <v>62</v>
      </c>
      <c r="D4" s="8" t="s">
        <v>63</v>
      </c>
      <c r="E4" s="8" t="s">
        <v>64</v>
      </c>
      <c r="F4" s="8" t="s">
        <v>65</v>
      </c>
      <c r="G4" s="8" t="s">
        <v>40</v>
      </c>
      <c r="H4" s="8" t="s">
        <v>42</v>
      </c>
      <c r="I4" s="8" t="s">
        <v>66</v>
      </c>
      <c r="J4" s="8" t="s">
        <v>67</v>
      </c>
      <c r="K4" s="8" t="s">
        <v>68</v>
      </c>
      <c r="L4" s="8" t="s">
        <v>69</v>
      </c>
      <c r="M4" s="13" t="s">
        <v>46</v>
      </c>
      <c r="N4" s="8" t="s">
        <v>70</v>
      </c>
      <c r="O4" s="8" t="s">
        <v>71</v>
      </c>
      <c r="P4" s="8" t="s">
        <v>72</v>
      </c>
      <c r="Q4" s="8" t="s">
        <v>73</v>
      </c>
    </row>
    <row r="5" customFormat="false" ht="15" hidden="false" customHeight="true" outlineLevel="0" collapsed="false">
      <c r="A5" s="8" t="n">
        <v>4</v>
      </c>
      <c r="B5" s="8" t="s">
        <v>12</v>
      </c>
      <c r="C5" s="8" t="s">
        <v>74</v>
      </c>
      <c r="D5" s="8" t="s">
        <v>63</v>
      </c>
      <c r="E5" s="8" t="s">
        <v>75</v>
      </c>
      <c r="F5" s="8" t="s">
        <v>65</v>
      </c>
      <c r="G5" s="8" t="s">
        <v>40</v>
      </c>
      <c r="H5" s="8" t="s">
        <v>42</v>
      </c>
      <c r="I5" s="8" t="s">
        <v>76</v>
      </c>
      <c r="J5" s="8" t="s">
        <v>77</v>
      </c>
      <c r="K5" s="8" t="s">
        <v>78</v>
      </c>
      <c r="L5" s="8" t="s">
        <v>79</v>
      </c>
      <c r="M5" s="14" t="s">
        <v>80</v>
      </c>
      <c r="N5" s="8" t="s">
        <v>81</v>
      </c>
      <c r="O5" s="8" t="s">
        <v>71</v>
      </c>
      <c r="P5" s="8" t="s">
        <v>82</v>
      </c>
      <c r="Q5" s="8" t="s">
        <v>83</v>
      </c>
    </row>
    <row r="6" customFormat="false" ht="15" hidden="false" customHeight="true" outlineLevel="0" collapsed="false">
      <c r="A6" s="8" t="n">
        <v>5</v>
      </c>
      <c r="B6" s="8" t="s">
        <v>12</v>
      </c>
      <c r="C6" s="8" t="s">
        <v>84</v>
      </c>
      <c r="D6" s="8" t="s">
        <v>85</v>
      </c>
      <c r="E6" s="8" t="s">
        <v>86</v>
      </c>
      <c r="F6" s="8" t="s">
        <v>87</v>
      </c>
      <c r="G6" s="8" t="s">
        <v>88</v>
      </c>
      <c r="H6" s="8" t="s">
        <v>89</v>
      </c>
      <c r="I6" s="8" t="s">
        <v>42</v>
      </c>
      <c r="J6" s="8" t="s">
        <v>90</v>
      </c>
      <c r="K6" s="8" t="s">
        <v>91</v>
      </c>
      <c r="L6" s="8" t="s">
        <v>92</v>
      </c>
      <c r="M6" s="15" t="s">
        <v>93</v>
      </c>
      <c r="N6" s="8" t="s">
        <v>94</v>
      </c>
      <c r="O6" s="8" t="s">
        <v>48</v>
      </c>
      <c r="P6" s="8" t="s">
        <v>95</v>
      </c>
      <c r="Q6" s="8" t="s">
        <v>96</v>
      </c>
    </row>
    <row r="7" customFormat="false" ht="15" hidden="false" customHeight="true" outlineLevel="0" collapsed="false">
      <c r="A7" s="8" t="n">
        <v>6</v>
      </c>
      <c r="B7" s="8" t="s">
        <v>12</v>
      </c>
      <c r="C7" s="8" t="s">
        <v>97</v>
      </c>
      <c r="D7" s="8" t="s">
        <v>98</v>
      </c>
      <c r="E7" s="8" t="s">
        <v>99</v>
      </c>
      <c r="F7" s="8" t="s">
        <v>65</v>
      </c>
      <c r="G7" s="8" t="s">
        <v>40</v>
      </c>
      <c r="H7" s="8" t="s">
        <v>42</v>
      </c>
      <c r="I7" s="8" t="s">
        <v>42</v>
      </c>
      <c r="J7" s="8" t="s">
        <v>100</v>
      </c>
      <c r="K7" s="8" t="s">
        <v>101</v>
      </c>
      <c r="L7" s="8" t="s">
        <v>102</v>
      </c>
      <c r="M7" s="14" t="s">
        <v>80</v>
      </c>
      <c r="N7" s="8" t="s">
        <v>103</v>
      </c>
      <c r="O7" s="8" t="s">
        <v>104</v>
      </c>
      <c r="P7" s="8" t="s">
        <v>105</v>
      </c>
      <c r="Q7" s="8" t="s">
        <v>106</v>
      </c>
    </row>
    <row r="8" customFormat="false" ht="15" hidden="false" customHeight="true" outlineLevel="0" collapsed="false">
      <c r="A8" s="8" t="n">
        <v>7</v>
      </c>
      <c r="B8" s="8" t="s">
        <v>14</v>
      </c>
      <c r="C8" s="8" t="s">
        <v>107</v>
      </c>
      <c r="D8" s="8" t="s">
        <v>108</v>
      </c>
      <c r="E8" s="8" t="s">
        <v>109</v>
      </c>
      <c r="F8" s="8" t="s">
        <v>65</v>
      </c>
      <c r="G8" s="8" t="s">
        <v>40</v>
      </c>
      <c r="H8" s="8" t="s">
        <v>110</v>
      </c>
      <c r="I8" s="8" t="s">
        <v>111</v>
      </c>
      <c r="J8" s="8" t="s">
        <v>112</v>
      </c>
      <c r="K8" s="8" t="s">
        <v>113</v>
      </c>
      <c r="L8" s="8" t="s">
        <v>114</v>
      </c>
      <c r="M8" s="13" t="s">
        <v>46</v>
      </c>
      <c r="N8" s="8" t="s">
        <v>115</v>
      </c>
      <c r="O8" s="8" t="s">
        <v>116</v>
      </c>
      <c r="P8" s="8" t="s">
        <v>117</v>
      </c>
      <c r="Q8" s="8" t="s">
        <v>118</v>
      </c>
    </row>
    <row r="9" customFormat="false" ht="15" hidden="false" customHeight="true" outlineLevel="0" collapsed="false">
      <c r="A9" s="8" t="n">
        <v>8</v>
      </c>
      <c r="B9" s="8" t="s">
        <v>16</v>
      </c>
      <c r="C9" s="8" t="s">
        <v>119</v>
      </c>
      <c r="D9" s="8" t="s">
        <v>120</v>
      </c>
      <c r="E9" s="8" t="s">
        <v>121</v>
      </c>
      <c r="F9" s="8" t="s">
        <v>65</v>
      </c>
      <c r="G9" s="8" t="s">
        <v>40</v>
      </c>
      <c r="H9" s="8" t="s">
        <v>42</v>
      </c>
      <c r="I9" s="8" t="s">
        <v>42</v>
      </c>
      <c r="J9" s="8" t="s">
        <v>122</v>
      </c>
      <c r="K9" s="8" t="s">
        <v>123</v>
      </c>
      <c r="L9" s="8" t="s">
        <v>124</v>
      </c>
      <c r="M9" s="13" t="s">
        <v>46</v>
      </c>
      <c r="N9" s="8" t="s">
        <v>115</v>
      </c>
      <c r="O9" s="8" t="s">
        <v>125</v>
      </c>
      <c r="P9" s="8" t="s">
        <v>126</v>
      </c>
      <c r="Q9" s="8" t="s">
        <v>127</v>
      </c>
    </row>
    <row r="10" customFormat="false" ht="15" hidden="false" customHeight="true" outlineLevel="0" collapsed="false">
      <c r="A10" s="8" t="n">
        <v>9</v>
      </c>
      <c r="B10" s="8" t="s">
        <v>16</v>
      </c>
      <c r="C10" s="8" t="s">
        <v>128</v>
      </c>
      <c r="D10" s="8" t="s">
        <v>129</v>
      </c>
      <c r="E10" s="8" t="s">
        <v>130</v>
      </c>
      <c r="F10" s="8" t="s">
        <v>65</v>
      </c>
      <c r="G10" s="8" t="s">
        <v>40</v>
      </c>
      <c r="H10" s="8" t="s">
        <v>42</v>
      </c>
      <c r="I10" s="8" t="s">
        <v>42</v>
      </c>
      <c r="J10" s="8" t="s">
        <v>131</v>
      </c>
      <c r="K10" s="8" t="s">
        <v>132</v>
      </c>
      <c r="L10" s="8" t="s">
        <v>133</v>
      </c>
      <c r="M10" s="13" t="s">
        <v>46</v>
      </c>
      <c r="N10" s="8" t="s">
        <v>134</v>
      </c>
      <c r="O10" s="8" t="s">
        <v>135</v>
      </c>
      <c r="P10" s="8" t="s">
        <v>136</v>
      </c>
      <c r="Q10" s="8" t="s">
        <v>137</v>
      </c>
    </row>
    <row r="11" customFormat="false" ht="15" hidden="false" customHeight="true" outlineLevel="0" collapsed="false">
      <c r="A11" s="8" t="n">
        <v>10</v>
      </c>
      <c r="B11" s="8" t="s">
        <v>16</v>
      </c>
      <c r="C11" s="8" t="s">
        <v>138</v>
      </c>
      <c r="D11" s="8" t="s">
        <v>139</v>
      </c>
      <c r="E11" s="8" t="s">
        <v>140</v>
      </c>
      <c r="F11" s="8" t="s">
        <v>65</v>
      </c>
      <c r="G11" s="8" t="s">
        <v>40</v>
      </c>
      <c r="H11" s="8" t="s">
        <v>42</v>
      </c>
      <c r="I11" s="8" t="s">
        <v>42</v>
      </c>
      <c r="J11" s="8" t="s">
        <v>122</v>
      </c>
      <c r="K11" s="8" t="s">
        <v>141</v>
      </c>
      <c r="L11" s="8" t="s">
        <v>142</v>
      </c>
      <c r="M11" s="13" t="s">
        <v>46</v>
      </c>
      <c r="N11" s="8" t="s">
        <v>143</v>
      </c>
      <c r="O11" s="8" t="s">
        <v>144</v>
      </c>
      <c r="P11" s="8" t="s">
        <v>145</v>
      </c>
      <c r="Q11" s="8" t="s">
        <v>146</v>
      </c>
    </row>
    <row r="12" customFormat="false" ht="15" hidden="false" customHeight="true" outlineLevel="0" collapsed="false">
      <c r="A12" s="8" t="n">
        <v>11</v>
      </c>
      <c r="B12" s="8" t="s">
        <v>16</v>
      </c>
      <c r="C12" s="8" t="s">
        <v>147</v>
      </c>
      <c r="D12" s="8" t="s">
        <v>148</v>
      </c>
      <c r="E12" s="8" t="s">
        <v>149</v>
      </c>
      <c r="F12" s="8" t="s">
        <v>65</v>
      </c>
      <c r="G12" s="8" t="s">
        <v>40</v>
      </c>
      <c r="H12" s="8" t="s">
        <v>42</v>
      </c>
      <c r="I12" s="8" t="s">
        <v>42</v>
      </c>
      <c r="J12" s="8" t="s">
        <v>122</v>
      </c>
      <c r="K12" s="8" t="s">
        <v>150</v>
      </c>
      <c r="L12" s="8" t="s">
        <v>151</v>
      </c>
      <c r="M12" s="13" t="s">
        <v>46</v>
      </c>
      <c r="N12" s="8" t="s">
        <v>70</v>
      </c>
      <c r="O12" s="8" t="s">
        <v>152</v>
      </c>
      <c r="P12" s="8" t="s">
        <v>153</v>
      </c>
      <c r="Q12" s="8" t="s">
        <v>154</v>
      </c>
    </row>
    <row r="13" customFormat="false" ht="15" hidden="false" customHeight="true" outlineLevel="0" collapsed="false">
      <c r="A13" s="8" t="n">
        <v>12</v>
      </c>
      <c r="B13" s="8" t="s">
        <v>16</v>
      </c>
      <c r="C13" s="8" t="s">
        <v>155</v>
      </c>
      <c r="D13" s="8" t="s">
        <v>156</v>
      </c>
      <c r="E13" s="8" t="s">
        <v>157</v>
      </c>
      <c r="F13" s="8" t="s">
        <v>65</v>
      </c>
      <c r="G13" s="8" t="s">
        <v>40</v>
      </c>
      <c r="H13" s="8" t="s">
        <v>42</v>
      </c>
      <c r="I13" s="8" t="s">
        <v>42</v>
      </c>
      <c r="J13" s="8" t="s">
        <v>122</v>
      </c>
      <c r="K13" s="8" t="s">
        <v>158</v>
      </c>
      <c r="L13" s="8" t="s">
        <v>159</v>
      </c>
      <c r="M13" s="13" t="s">
        <v>46</v>
      </c>
      <c r="N13" s="8" t="s">
        <v>70</v>
      </c>
      <c r="O13" s="8" t="s">
        <v>160</v>
      </c>
      <c r="P13" s="8" t="s">
        <v>161</v>
      </c>
      <c r="Q13" s="8" t="s">
        <v>162</v>
      </c>
    </row>
    <row r="14" customFormat="false" ht="15" hidden="false" customHeight="true" outlineLevel="0" collapsed="false">
      <c r="A14" s="8" t="n">
        <v>13</v>
      </c>
      <c r="B14" s="8" t="s">
        <v>16</v>
      </c>
      <c r="C14" s="8" t="s">
        <v>163</v>
      </c>
      <c r="D14" s="8" t="s">
        <v>164</v>
      </c>
      <c r="E14" s="8" t="s">
        <v>165</v>
      </c>
      <c r="F14" s="8" t="s">
        <v>65</v>
      </c>
      <c r="G14" s="8" t="s">
        <v>40</v>
      </c>
      <c r="H14" s="8" t="s">
        <v>42</v>
      </c>
      <c r="I14" s="8" t="s">
        <v>166</v>
      </c>
      <c r="J14" s="8" t="s">
        <v>122</v>
      </c>
      <c r="K14" s="8" t="s">
        <v>167</v>
      </c>
      <c r="L14" s="8" t="s">
        <v>168</v>
      </c>
      <c r="M14" s="13" t="s">
        <v>46</v>
      </c>
      <c r="N14" s="8" t="s">
        <v>169</v>
      </c>
      <c r="O14" s="8" t="s">
        <v>170</v>
      </c>
      <c r="P14" s="8" t="s">
        <v>171</v>
      </c>
      <c r="Q14" s="8" t="s">
        <v>172</v>
      </c>
    </row>
    <row r="15" customFormat="false" ht="15" hidden="false" customHeight="true" outlineLevel="0" collapsed="false">
      <c r="A15" s="8" t="n">
        <v>14</v>
      </c>
      <c r="B15" s="8" t="s">
        <v>16</v>
      </c>
      <c r="C15" s="8" t="s">
        <v>173</v>
      </c>
      <c r="D15" s="8" t="s">
        <v>120</v>
      </c>
      <c r="E15" s="8" t="s">
        <v>174</v>
      </c>
      <c r="F15" s="8" t="s">
        <v>65</v>
      </c>
      <c r="G15" s="8" t="s">
        <v>40</v>
      </c>
      <c r="H15" s="8" t="s">
        <v>42</v>
      </c>
      <c r="I15" s="8" t="s">
        <v>42</v>
      </c>
      <c r="J15" s="8" t="s">
        <v>175</v>
      </c>
      <c r="K15" s="8" t="s">
        <v>176</v>
      </c>
      <c r="L15" s="8" t="s">
        <v>177</v>
      </c>
      <c r="M15" s="13" t="s">
        <v>46</v>
      </c>
      <c r="N15" s="8" t="s">
        <v>178</v>
      </c>
      <c r="O15" s="8" t="s">
        <v>179</v>
      </c>
      <c r="P15" s="8" t="s">
        <v>180</v>
      </c>
      <c r="Q15" s="8" t="s">
        <v>181</v>
      </c>
    </row>
    <row r="16" customFormat="false" ht="15" hidden="false" customHeight="true" outlineLevel="0" collapsed="false">
      <c r="A16" s="8" t="n">
        <v>15</v>
      </c>
      <c r="B16" s="8" t="s">
        <v>16</v>
      </c>
      <c r="C16" s="8" t="s">
        <v>182</v>
      </c>
      <c r="D16" s="8" t="s">
        <v>183</v>
      </c>
      <c r="E16" s="8" t="s">
        <v>184</v>
      </c>
      <c r="F16" s="8" t="s">
        <v>65</v>
      </c>
      <c r="G16" s="8" t="s">
        <v>185</v>
      </c>
      <c r="H16" s="8" t="s">
        <v>42</v>
      </c>
      <c r="I16" s="8" t="s">
        <v>186</v>
      </c>
      <c r="J16" s="8" t="s">
        <v>187</v>
      </c>
      <c r="K16" s="8" t="s">
        <v>188</v>
      </c>
      <c r="L16" s="8" t="s">
        <v>189</v>
      </c>
      <c r="M16" s="13" t="s">
        <v>46</v>
      </c>
      <c r="N16" s="8" t="s">
        <v>190</v>
      </c>
      <c r="O16" s="8" t="s">
        <v>191</v>
      </c>
      <c r="P16" s="8" t="s">
        <v>192</v>
      </c>
      <c r="Q16" s="8" t="s">
        <v>193</v>
      </c>
    </row>
    <row r="17" customFormat="false" ht="15" hidden="false" customHeight="true" outlineLevel="0" collapsed="false">
      <c r="A17" s="8" t="n">
        <v>16</v>
      </c>
      <c r="B17" s="8" t="s">
        <v>16</v>
      </c>
      <c r="C17" s="8" t="s">
        <v>194</v>
      </c>
      <c r="D17" s="8" t="s">
        <v>120</v>
      </c>
      <c r="E17" s="8" t="s">
        <v>195</v>
      </c>
      <c r="F17" s="8" t="s">
        <v>65</v>
      </c>
      <c r="G17" s="8" t="s">
        <v>40</v>
      </c>
      <c r="H17" s="8" t="s">
        <v>42</v>
      </c>
      <c r="I17" s="8" t="s">
        <v>42</v>
      </c>
      <c r="J17" s="8" t="s">
        <v>122</v>
      </c>
      <c r="K17" s="8" t="s">
        <v>196</v>
      </c>
      <c r="L17" s="8" t="s">
        <v>197</v>
      </c>
      <c r="M17" s="13" t="s">
        <v>46</v>
      </c>
      <c r="N17" s="8" t="s">
        <v>190</v>
      </c>
      <c r="O17" s="8" t="s">
        <v>198</v>
      </c>
      <c r="P17" s="8" t="s">
        <v>199</v>
      </c>
      <c r="Q17" s="8" t="s">
        <v>200</v>
      </c>
    </row>
    <row r="18" customFormat="false" ht="15" hidden="false" customHeight="true" outlineLevel="0" collapsed="false">
      <c r="A18" s="8" t="n">
        <v>17</v>
      </c>
      <c r="B18" s="8" t="s">
        <v>16</v>
      </c>
      <c r="C18" s="8" t="s">
        <v>201</v>
      </c>
      <c r="D18" s="8" t="s">
        <v>120</v>
      </c>
      <c r="E18" s="8" t="s">
        <v>121</v>
      </c>
      <c r="F18" s="8" t="s">
        <v>65</v>
      </c>
      <c r="G18" s="8" t="s">
        <v>40</v>
      </c>
      <c r="H18" s="8" t="s">
        <v>42</v>
      </c>
      <c r="I18" s="8" t="s">
        <v>42</v>
      </c>
      <c r="J18" s="8" t="s">
        <v>122</v>
      </c>
      <c r="K18" s="8" t="s">
        <v>123</v>
      </c>
      <c r="L18" s="8" t="s">
        <v>202</v>
      </c>
      <c r="M18" s="13" t="s">
        <v>46</v>
      </c>
      <c r="N18" s="8" t="s">
        <v>203</v>
      </c>
      <c r="O18" s="8" t="s">
        <v>125</v>
      </c>
      <c r="P18" s="8" t="s">
        <v>204</v>
      </c>
      <c r="Q18" s="8" t="s">
        <v>205</v>
      </c>
    </row>
    <row r="19" customFormat="false" ht="15" hidden="false" customHeight="true" outlineLevel="0" collapsed="false">
      <c r="A19" s="8" t="n">
        <v>18</v>
      </c>
      <c r="B19" s="8" t="s">
        <v>16</v>
      </c>
      <c r="C19" s="8" t="s">
        <v>206</v>
      </c>
      <c r="D19" s="8" t="s">
        <v>120</v>
      </c>
      <c r="E19" s="8" t="s">
        <v>207</v>
      </c>
      <c r="F19" s="8" t="s">
        <v>65</v>
      </c>
      <c r="G19" s="8" t="s">
        <v>40</v>
      </c>
      <c r="H19" s="8" t="s">
        <v>42</v>
      </c>
      <c r="I19" s="8" t="s">
        <v>42</v>
      </c>
      <c r="J19" s="8" t="s">
        <v>122</v>
      </c>
      <c r="K19" s="8" t="s">
        <v>208</v>
      </c>
      <c r="L19" s="8" t="s">
        <v>209</v>
      </c>
      <c r="M19" s="13" t="s">
        <v>46</v>
      </c>
      <c r="N19" s="8" t="s">
        <v>210</v>
      </c>
      <c r="O19" s="8" t="s">
        <v>211</v>
      </c>
      <c r="P19" s="8" t="s">
        <v>212</v>
      </c>
      <c r="Q19" s="8" t="s">
        <v>213</v>
      </c>
    </row>
    <row r="20" customFormat="false" ht="15" hidden="false" customHeight="true" outlineLevel="0" collapsed="false">
      <c r="A20" s="8" t="n">
        <v>19</v>
      </c>
      <c r="B20" s="8" t="s">
        <v>16</v>
      </c>
      <c r="C20" s="8" t="s">
        <v>214</v>
      </c>
      <c r="D20" s="8" t="s">
        <v>183</v>
      </c>
      <c r="E20" s="8" t="s">
        <v>215</v>
      </c>
      <c r="F20" s="8" t="s">
        <v>65</v>
      </c>
      <c r="G20" s="8" t="s">
        <v>185</v>
      </c>
      <c r="H20" s="8" t="s">
        <v>42</v>
      </c>
      <c r="I20" s="8" t="s">
        <v>216</v>
      </c>
      <c r="J20" s="8" t="s">
        <v>217</v>
      </c>
      <c r="K20" s="8" t="s">
        <v>188</v>
      </c>
      <c r="L20" s="8" t="s">
        <v>218</v>
      </c>
      <c r="M20" s="13" t="s">
        <v>46</v>
      </c>
      <c r="N20" s="8" t="s">
        <v>219</v>
      </c>
      <c r="O20" s="8" t="s">
        <v>191</v>
      </c>
      <c r="P20" s="8" t="s">
        <v>220</v>
      </c>
      <c r="Q20" s="8" t="s">
        <v>221</v>
      </c>
    </row>
  </sheetData>
  <autoFilter ref="A1:Q2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2026-10-21T11:31:02Z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