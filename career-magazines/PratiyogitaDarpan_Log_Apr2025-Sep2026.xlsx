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2"/>
    <sheet name="Log" sheetId="2" state="visible" r:id="rId3"/>
  </sheets>
  <definedNames>
    <definedName function="false" hidden="true" localSheetId="1" name="_xlnm._FilterDatabase" vbProcedure="false">Log!$A$1:$Q$20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<sst xmlns="http://schemas.openxmlformats.org/spreadsheetml/2006/main" count="340" uniqueCount="222">
  <si>
    <t xml:space="preserve">Pratiyogita Darpan - Opportunities Log</t>
  </si>
  <si>
    <t xml:space="preserve">Coverage window: April 2025 - September 2026 (18 months) | Sections logged: scholarships &amp; fellowships, internships, admissions &amp; entrance exams (no government job recruitment, per scope)</t>
  </si>
  <si>
    <t xml:space="preserve">Compiled: 28 September 2026</t>
  </si>
  <si>
    <t xml:space="preserve">Method &amp; caveats</t>
  </si>
  <si>
    <t xml:space="preserve">Print archives of this magazine are not publicly accessible in bulk, so entries were compiled from the magazine's own website/web editions where available, and from official notification portals and reputable coverage elsewhere. The Source(s) column links where each fact was verified, and the Notes column states whether the item's appearance in a specific magazine issue was directly verified or inferred from the magazine's normal coverage.</t>
  </si>
  <si>
    <t xml:space="preserve">Coverage Month = the month(s) the item appeared (or would customarily appear) in the magazine, based on the notification's own public timeline.</t>
  </si>
  <si>
    <t xml:space="preserve">Status is as of 28 September 2026: green = open now, blue = rolling applications, amber = upcoming, grey = dates to be announced, red = closed. Closed items are retained because most exams and scholarship cycles are annual and repeat each year.</t>
  </si>
  <si>
    <t xml:space="preserve">Deadlines and fees change - always verify on the Official Website column before relying on any date. This is an information compilation, not an endorsement; never apply through third-party paid agents.</t>
  </si>
  <si>
    <t xml:space="preserve">Entries by section</t>
  </si>
  <si>
    <t xml:space="preserve">Section</t>
  </si>
  <si>
    <t xml:space="preserve">Description</t>
  </si>
  <si>
    <t xml:space="preserve">Count</t>
  </si>
  <si>
    <t xml:space="preserve">Scholarship / Fellowship</t>
  </si>
  <si>
    <t xml:space="preserve">Government, trust and CSR scholarships and fellowships covered in this window.</t>
  </si>
  <si>
    <t xml:space="preserve">Internship</t>
  </si>
  <si>
    <t xml:space="preserve">Internship programmes covered in this window.</t>
  </si>
  <si>
    <t xml:space="preserve">Admission / Entrance Exam</t>
  </si>
  <si>
    <t xml:space="preserve">University/institute admissions and entrance exam notifications (CUET, GATE, CAT, CLAT, EAPCET etc.).</t>
  </si>
  <si>
    <t xml:space="preserve">Total entries</t>
  </si>
  <si>
    <t xml:space="preserve">S.No</t>
  </si>
  <si>
    <t xml:space="preserve">Type</t>
  </si>
  <si>
    <t xml:space="preserve">Name</t>
  </si>
  <si>
    <t xml:space="preserve">Organiser</t>
  </si>
  <si>
    <t xml:space="preserve">For (Education Background)</t>
  </si>
  <si>
    <t xml:space="preserve">Caste / Community</t>
  </si>
  <si>
    <t xml:space="preserve">Gender</t>
  </si>
  <si>
    <t xml:space="preserve">Income Limit</t>
  </si>
  <si>
    <t xml:space="preserve">Age Limit</t>
  </si>
  <si>
    <t xml:space="preserve">Cycle</t>
  </si>
  <si>
    <t xml:space="preserve">Award / Stipend / Fees</t>
  </si>
  <si>
    <t xml:space="preserve">Deadline / Window</t>
  </si>
  <si>
    <t xml:space="preserve">Status</t>
  </si>
  <si>
    <t xml:space="preserve">Coverage Month</t>
  </si>
  <si>
    <t xml:space="preserve">Official Website</t>
  </si>
  <si>
    <t xml:space="preserve">Source(s)</t>
  </si>
  <si>
    <t xml:space="preserve">Notes</t>
  </si>
  <si>
    <t xml:space="preserve">National Scholarship Portal (NSP) Fresh and Renewal Applications 2025-26</t>
  </si>
  <si>
    <t xml:space="preserve">Government of India ministries via NSP (Social Justice and Empowerment, Minority Affairs, Tribal Affairs)</t>
  </si>
  <si>
    <t xml:space="preserve">Pre-matric to postgraduate; school, college and university students</t>
  </si>
  <si>
    <t xml:space="preserve">Open; many schemes earmarked for SC, ST, OBC, EBC, DNT and minority students</t>
  </si>
  <si>
    <t xml:space="preserve">All</t>
  </si>
  <si>
    <t xml:space="preserve">Varies by scheme (roughly Rs 2 lakh to Rs 8 lakh family income depending on scheme)</t>
  </si>
  <si>
    <t xml:space="preserve">n/a</t>
  </si>
  <si>
    <t xml:space="preserve">Annual; Academic Year 2025-26</t>
  </si>
  <si>
    <t xml:space="preserve">Varies by scheme; maintenance allowance and tuition support paid via DBT</t>
  </si>
  <si>
    <t xml:space="preserve">Portal opened 02-06-2025; most schemes closed 31-10-2025; extended to 15-11-2025 for post-matric and top class central sector schemes</t>
  </si>
  <si>
    <t xml:space="preserve">Closed</t>
  </si>
  <si>
    <t xml:space="preserve">2025-06;2025-07</t>
  </si>
  <si>
    <t xml:space="preserve">https://scholarships.gov.in</t>
  </si>
  <si>
    <t xml:space="preserve">https://stageweb.iist.ac.in/sites/default/files/2025-10/Letter%20to%20265%20institutions%20regarding%20NSP%20portal%20opening%20for%20the%20Year%202025-26.pdf</t>
  </si>
  <si>
    <t xml:space="preserve">Dates verified from official NSP timeline letter; appearance in a specific PD issue not directly sighted, PD routinely lists NSP deadlines in its monthly career guidance sections</t>
  </si>
  <si>
    <t xml:space="preserve">PM YASASVI Central Sector Scheme of Top Class Education in Schools for OBC, EBC and DNT Students 2025-26</t>
  </si>
  <si>
    <t xml:space="preserve">Ministry of Social Justice and Empowerment, Government of India</t>
  </si>
  <si>
    <t xml:space="preserve">Class 9 to Class 12 in notified Top Class Schools</t>
  </si>
  <si>
    <t xml:space="preserve">OBC, EBC and DNT students</t>
  </si>
  <si>
    <t xml:space="preserve">All; at least 30 per cent of slots reserved for girls</t>
  </si>
  <si>
    <t xml:space="preserve">Family income up to Rs 2.5 lakh per annum</t>
  </si>
  <si>
    <t xml:space="preserve">Rs 75,000 per year for Classes 9-10; Rs 1,25,000 per year for Classes 11-12</t>
  </si>
  <si>
    <t xml:space="preserve">Applications 02-06-2025 to 31-08-2025 via NSP; merit based with no entrance test in 2025</t>
  </si>
  <si>
    <t xml:space="preserve">2025-06</t>
  </si>
  <si>
    <t xml:space="preserve">https://www.aubsp.com/pm-yasasvi-scholarship/</t>
  </si>
  <si>
    <t xml:space="preserve">Scheme details verified from official scheme guidelines and coverage; specific PD issue not directly sighted, item falls within the magazine's standard scholarship coverage</t>
  </si>
  <si>
    <t xml:space="preserve">INSPIRE Faculty Fellowship Call 2025</t>
  </si>
  <si>
    <t xml:space="preserve">Department of Science and Technology (DST), Government of India</t>
  </si>
  <si>
    <t xml:space="preserve">Early-career researchers with PhD; postdoctoral fellowship at Indian host institutions</t>
  </si>
  <si>
    <t xml:space="preserve">Open to all</t>
  </si>
  <si>
    <t xml:space="preserve">As per DST call norms</t>
  </si>
  <si>
    <t xml:space="preserve">Annual call</t>
  </si>
  <si>
    <t xml:space="preserve">Research fellowship and grant as per DST norms</t>
  </si>
  <si>
    <t xml:space="preserve">Call open 15-08-2025 to 14-09-2025</t>
  </si>
  <si>
    <t xml:space="preserve">2025-08</t>
  </si>
  <si>
    <t xml:space="preserve">https://www.online-inspire.gov.in</t>
  </si>
  <si>
    <t xml:space="preserve">https://www.online-inspire.gov.in/</t>
  </si>
  <si>
    <t xml:space="preserve">Window verified from the official INSPIRE portal homepage; PD issue appearance inferred from the magazine's routine research-fellowship coverage</t>
  </si>
  <si>
    <t xml:space="preserve">INSPIRE Scholarship for Higher Education (SHE) 2025 call</t>
  </si>
  <si>
    <t xml:space="preserve">BSc, BS, Integrated MSc and MS in basic and natural sciences for top Class 12 performers</t>
  </si>
  <si>
    <t xml:space="preserve">17 to 22 years per scheme norms</t>
  </si>
  <si>
    <t xml:space="preserve">Annual (2025 call)</t>
  </si>
  <si>
    <t xml:space="preserve">12,000 scholarships worth Rs 80,000 per year (Rs 5,000 per month plus Rs 20,000 summer mentorship grant)</t>
  </si>
  <si>
    <t xml:space="preserve">2025 call NOT issued; DST clarified in July 2026 the scheme is being redesigned with no timeline announced</t>
  </si>
  <si>
    <t xml:space="preserve">Dates TBA</t>
  </si>
  <si>
    <t xml:space="preserve">2026-07</t>
  </si>
  <si>
    <t xml:space="preserve">https://news.careers360.com/dst-clarifies-inspire-she-scholarship-not-scrapped-scheme-redesign-delay-2025-notification</t>
  </si>
  <si>
    <t xml:space="preserve">No 2025 notification was released; delay and redesign widely covered by career media in the window; included as a well-known PD-type item, not directly sighted in a PD issue</t>
  </si>
  <si>
    <t xml:space="preserve">National Scholarship Portal 2026-27 cycle including PM YASASVI schemes (renewal and fresh)</t>
  </si>
  <si>
    <t xml:space="preserve">Government of India ministries via NSP (Social Justice and Empowerment and others)</t>
  </si>
  <si>
    <t xml:space="preserve">Pre-matric to postgraduate; school and college students</t>
  </si>
  <si>
    <t xml:space="preserve">Open; PM YASASVI schemes for OBC, EBC and DNT students</t>
  </si>
  <si>
    <t xml:space="preserve">All; 30 per cent of YASASVI slots reserved for girls</t>
  </si>
  <si>
    <t xml:space="preserve">Varies by scheme</t>
  </si>
  <si>
    <t xml:space="preserve">Annual; Academic Year 2026-27</t>
  </si>
  <si>
    <t xml:space="preserve">Varies by scheme (YASASVI up to Rs 75,000 to Rs 1,25,000 per year)</t>
  </si>
  <si>
    <t xml:space="preserve">Portal opened 01-06-2026; renewal applications for school scheme open till 30-09-2026; college scheme fresh till 31-10-2026</t>
  </si>
  <si>
    <t xml:space="preserve">Open now</t>
  </si>
  <si>
    <t xml:space="preserve">2026-06</t>
  </si>
  <si>
    <t xml:space="preserve">https://scholarships.gov.in/All-Scholarships</t>
  </si>
  <si>
    <t xml:space="preserve">Live dates taken from the official NSP schemes page in September 2026; PD issue appearance inferred from the magazine's standard NSP coverage</t>
  </si>
  <si>
    <t xml:space="preserve">Scholarship initiative with six international universities launching India campuses (Rs 1,000 crore programme)</t>
  </si>
  <si>
    <t xml:space="preserve">University of Aberdeen, University of Bristol, Illinois Institute of Technology, University of Liverpool, Victoria University, University of York</t>
  </si>
  <si>
    <t xml:space="preserve">Undergraduate and postgraduate programmes with focus on AI and STEM</t>
  </si>
  <si>
    <t xml:space="preserve">One-time announcement (April 2026)</t>
  </si>
  <si>
    <t xml:space="preserve">Tuition waivers from 10 to 100 per cent for UG and PG students; fees expected 30 to 40 per cent lower than studying abroad</t>
  </si>
  <si>
    <t xml:space="preserve">Proposed intake Aug to Sep 2026</t>
  </si>
  <si>
    <t xml:space="preserve">2026-04</t>
  </si>
  <si>
    <t xml:space="preserve">https://www.pdgroup.in</t>
  </si>
  <si>
    <t xml:space="preserve">https://www.linkedin.com/posts/pratiyogita-darpan-official_highereducation-globaleducation-ai-activity-7450528369617584128-PVj0</t>
  </si>
  <si>
    <t xml:space="preserve">Covered directly by Pratiyogita Darpan's official LinkedIn channel in April 2026; this is direct PD online coverage rather than a print issue sighting</t>
  </si>
  <si>
    <t xml:space="preserve">Prime Minister Internship Scheme (PMIS) Pilot Round 2</t>
  </si>
  <si>
    <t xml:space="preserve">Ministry of Corporate Affairs, Government of India</t>
  </si>
  <si>
    <t xml:space="preserve">Youth not in full-time education or employment (Class 10 pass to graduates)</t>
  </si>
  <si>
    <t xml:space="preserve">Not stated in cited sources; scheme norms apply</t>
  </si>
  <si>
    <t xml:space="preserve">21 to 24 years</t>
  </si>
  <si>
    <t xml:space="preserve">Pilot Round 2 of PMIS (Jan to Apr 2025)</t>
  </si>
  <si>
    <t xml:space="preserve">Rs 5,000 per month for 12 months plus one-time Rs 6,000 grant; no application fee; 1.18 lakh-plus internships across 735 districts</t>
  </si>
  <si>
    <t xml:space="preserve">Applications ran through Round 2; deadline extended from 31-03-2025 to 15-04-2025</t>
  </si>
  <si>
    <t xml:space="preserve">2025-04</t>
  </si>
  <si>
    <t xml:space="preserve">https://pminternship.mca.gov.in</t>
  </si>
  <si>
    <t xml:space="preserve">https://economictimes.indiatimes.com/wealth/save/pm-internship-scheme-deadline-extended-apply-now-for-rs-5000-monthly-stipend-rs-6000-grant/articleshow/119898752.cms</t>
  </si>
  <si>
    <t xml:space="preserve">Stipend, eligibility and extended deadline verified from ET coverage and PIB releases; specific PD issue not directly sighted, scheme was a major youth-opportunity story in the window</t>
  </si>
  <si>
    <t xml:space="preserve">Common University Entrance Test (CUET UG) 2025</t>
  </si>
  <si>
    <t xml:space="preserve">National Testing Agency (NTA)</t>
  </si>
  <si>
    <t xml:space="preserve">Undergraduate programmes in central, state, deemed and private participating universities</t>
  </si>
  <si>
    <t xml:space="preserve">Annual</t>
  </si>
  <si>
    <t xml:space="preserve">Application fee as per NTA bulletin</t>
  </si>
  <si>
    <t xml:space="preserve">Online applications 01-03-2025 to 22-03-2025; exam 08-05-2025 to 01-06-2025 in CBT mode</t>
  </si>
  <si>
    <t xml:space="preserve">https://cuet.nta.nic.in</t>
  </si>
  <si>
    <t xml:space="preserve">https://www.hnbgu.ac.in/sites/default/files/2025-03/CUET%20%28UG%29%202025-2026%20Notification_0.pdf</t>
  </si>
  <si>
    <t xml:space="preserve">Dates verified from the official NTA public notice; notification and exam dates fall squarely in PD's routine entrance-exam coverage, specific issue not directly sighted</t>
  </si>
  <si>
    <t xml:space="preserve">UGC NET June 2025</t>
  </si>
  <si>
    <t xml:space="preserve">National Testing Agency on behalf of University Grants Commission</t>
  </si>
  <si>
    <t xml:space="preserve">Junior Research Fellowship, Assistant Professor eligibility and PhD admission</t>
  </si>
  <si>
    <t xml:space="preserve">Twice yearly (June cycle 2025)</t>
  </si>
  <si>
    <t xml:space="preserve">Fee Rs 1,150 general; Rs 600 Gen-EWS and OBC-NCL; Rs 325 SC, ST, PwD and third gender</t>
  </si>
  <si>
    <t xml:space="preserve">Applications 16-04-2025 to 12-05-2025 (extended from 07-05-2025); exam 25-06-2025 to 29-06-2025</t>
  </si>
  <si>
    <t xml:space="preserve">2025-05</t>
  </si>
  <si>
    <t xml:space="preserve">https://ugcnet.nta.ac.in</t>
  </si>
  <si>
    <t xml:space="preserve">https://ugcnet.nta.ac.in/images/public-notice-for-extension-of-dates-for-ugc-net-june-2025.pdf</t>
  </si>
  <si>
    <t xml:space="preserve">Dates and fee verified from the official NTA bulletin and extension notice; PD issue appearance inferred from standard coverage</t>
  </si>
  <si>
    <t xml:space="preserve">Xavier Aptitude Test (XAT) 2026</t>
  </si>
  <si>
    <t xml:space="preserve">XLRI Jamshedpur on behalf of XAMI</t>
  </si>
  <si>
    <t xml:space="preserve">MBA and PGDM at XLRI and 250-plus associated institutes</t>
  </si>
  <si>
    <t xml:space="preserve">Registration fee Rs 2,200</t>
  </si>
  <si>
    <t xml:space="preserve">Registration 10-07-2025 to 05-12-2025 (extended to 11-12-2025); exam 04-01-2026, 2 pm to 5 pm, single shift CBT</t>
  </si>
  <si>
    <t xml:space="preserve">2025-07</t>
  </si>
  <si>
    <t xml:space="preserve">https://xatonline.in</t>
  </si>
  <si>
    <t xml:space="preserve">https://news.careers360.com/xat-2026-registration-begins-at-xatonline-in-apply-december-5-exam-fee</t>
  </si>
  <si>
    <t xml:space="preserve">Dates verified from the XAT 2026 bulletin and news coverage; PD issue appearance inferred from the magazine's routine MBA-exam coverage</t>
  </si>
  <si>
    <t xml:space="preserve">Common Law Admission Test (CLAT) 2026</t>
  </si>
  <si>
    <t xml:space="preserve">Consortium of National Law Universities</t>
  </si>
  <si>
    <t xml:space="preserve">Five-year integrated LLB and one-year LLM at NLUs</t>
  </si>
  <si>
    <t xml:space="preserve">Application fee as per Consortium schedule</t>
  </si>
  <si>
    <t xml:space="preserve">Applications 01-08-2025 to 31-10-2025 (extended to 07-11-2025); exam 07-12-2025, 2 pm to 4 pm</t>
  </si>
  <si>
    <t xml:space="preserve">https://consortiumofnlus.ac.in</t>
  </si>
  <si>
    <t xml:space="preserve">https://consortiumofnlus.ac.in/clat-2026/notifications/clat-2026-press-release.pdf</t>
  </si>
  <si>
    <t xml:space="preserve">Dates verified from official Consortium press release and extension notification; PD issue appearance inferred from standard law-exam coverage</t>
  </si>
  <si>
    <t xml:space="preserve">Common Admission Test (CAT) 2025</t>
  </si>
  <si>
    <t xml:space="preserve">Indian Institute of Management Kozhikode</t>
  </si>
  <si>
    <t xml:space="preserve">MBA and postgraduate management programmes at IIMs and leading B-schools</t>
  </si>
  <si>
    <t xml:space="preserve">Registration fee Rs 2,600 (General, EWS, NC-OBC); Rs 1,300 (SC, ST, PwD)</t>
  </si>
  <si>
    <t xml:space="preserve">Registration 01-08-2025 to 20-09-2025 (extended from 13-09-2025); exam 30-11-2025 in three sessions</t>
  </si>
  <si>
    <t xml:space="preserve">https://iimcat.ac.in</t>
  </si>
  <si>
    <t xml:space="preserve">https://indianexpress.com/article/education/cat-2025-application-last-date-iim-mba-iimcat-ac-in-extends-10243508/</t>
  </si>
  <si>
    <t xml:space="preserve">Dates and fee verified from the IIM media release and news coverage; PD issue appearance inferred from standard MBA-exam coverage</t>
  </si>
  <si>
    <t xml:space="preserve">Graduate Aptitude Test in Engineering (GATE) 2026</t>
  </si>
  <si>
    <t xml:space="preserve">IIT Guwahati on behalf of IISc and IITs (NCB, Ministry of Education)</t>
  </si>
  <si>
    <t xml:space="preserve">Master's, direct doctoral and doctoral admissions in Engineering, Science, Commerce, Arts and Humanities</t>
  </si>
  <si>
    <t xml:space="preserve">No age limit</t>
  </si>
  <si>
    <t xml:space="preserve">Application fee per category (regular period 28-08-2025 to 25/28-09-2025; late fee window up to 13-10-2025)</t>
  </si>
  <si>
    <t xml:space="preserve">Applications 28-08-2025 to 07-10-2025; exams 07-02-2026, 08-02-2026, 14-02-2026 and 15-02-2026; results 19-03-2026</t>
  </si>
  <si>
    <t xml:space="preserve">2025-09</t>
  </si>
  <si>
    <t xml:space="preserve">https://gate2026.iitg.ac.in</t>
  </si>
  <si>
    <t xml:space="preserve">https://gate2026.iitg.ac.in/important-dates.html</t>
  </si>
  <si>
    <t xml:space="preserve">All dates verified from the official GATE 2026 important-dates page; PD issue appearance inferred from the magazine's routine GATE coverage</t>
  </si>
  <si>
    <t xml:space="preserve">Joint Entrance Examination (JEE Main) 2026 Session 1</t>
  </si>
  <si>
    <t xml:space="preserve">BE, BTech, BArch and BPlanning at NITs, IIITs and CFTIs; qualifier for JEE Advanced</t>
  </si>
  <si>
    <t xml:space="preserve">Twice yearly (Session 1 of 2026)</t>
  </si>
  <si>
    <t xml:space="preserve">Application fee per NTA schedule</t>
  </si>
  <si>
    <t xml:space="preserve">Applications 31-10-2025 to 27-11-2025; exam 21-01-2026 to 30-01-2026; Session 2 applications from last week of January 2026 with exam 01-10 April 2026</t>
  </si>
  <si>
    <t xml:space="preserve">2025-11</t>
  </si>
  <si>
    <t xml:space="preserve">https://jeemain.nta.nic.in</t>
  </si>
  <si>
    <t xml:space="preserve">https://timesofindia.indiatimes.com/education/news/jee-main-2026-session-1-registration-window-closes-today-check-direct-link-to-apply-and-key-details-here/articleshow/125603936.cms</t>
  </si>
  <si>
    <t xml:space="preserve">Dates verified from NTA advisory and news coverage; PD issue appearance inferred from the magazine's routine JEE coverage</t>
  </si>
  <si>
    <t xml:space="preserve">National Defence Academy and Naval Academy Examination (I) 2026</t>
  </si>
  <si>
    <t xml:space="preserve">Union Public Service Commission (UPSC)</t>
  </si>
  <si>
    <t xml:space="preserve">Admission to Army, Navy and Air Force wings of NDA (157th Course) and 119th Indian Naval Academy Course</t>
  </si>
  <si>
    <t xml:space="preserve">Unmarried male and female candidates</t>
  </si>
  <si>
    <t xml:space="preserve">Born not earlier than 02-07-2007 and not later than 01-07-2010</t>
  </si>
  <si>
    <t xml:space="preserve">Twice yearly (I of 2026)</t>
  </si>
  <si>
    <t xml:space="preserve">Application fee per UPSC notification</t>
  </si>
  <si>
    <t xml:space="preserve">Notification 10-12-2025; applications 10-12-2025 to 30-12-2025; exam 12-04-2026</t>
  </si>
  <si>
    <t xml:space="preserve">2025-12</t>
  </si>
  <si>
    <t xml:space="preserve">https://upsconline.nic.in</t>
  </si>
  <si>
    <t xml:space="preserve">https://www.upsc.gov.in/sites/default/files/Notif-NDA-NA-I-2026-Engl-101225.pdf</t>
  </si>
  <si>
    <t xml:space="preserve">All details verified from the official UPSC notification; defence academy admissions are a PD staple, specific issue not directly sighted</t>
  </si>
  <si>
    <t xml:space="preserve">Common University Entrance Test (CUET PG) 2026</t>
  </si>
  <si>
    <t xml:space="preserve">Postgraduate programmes in central and participating universities</t>
  </si>
  <si>
    <t xml:space="preserve">Fee varies by number of test papers (up to four); Rs 7,000 for centres outside India</t>
  </si>
  <si>
    <t xml:space="preserve">Applications 14-12-2025 to 14-01-2026 (extended to 20-01-2026); exam 06-03-2026 to 27-03-2026</t>
  </si>
  <si>
    <t xml:space="preserve">https://exams.nta.nic.in/cuet-pg/</t>
  </si>
  <si>
    <t xml:space="preserve">https://cdnbbsr.s3waas.gov.in/s388a839f2f6f1427879fc33ee4acf4f66/uploads/2025/12/202512161583029269.pdf</t>
  </si>
  <si>
    <t xml:space="preserve">Dates verified from the official NTA information bulletin; PD issue appearance inferred from standard coverage</t>
  </si>
  <si>
    <t xml:space="preserve">Common University Entrance Test (CUET UG) 2026</t>
  </si>
  <si>
    <t xml:space="preserve">Applications 03-01-2026 to 30-01-2026 (extended to 04-02-2026; reopened 23-02-2026 to 26-02-2026); exam 11-05-2026 to 31-05-2026 in CBT mode</t>
  </si>
  <si>
    <t xml:space="preserve">2026-01</t>
  </si>
  <si>
    <t xml:space="preserve">https://cutn.ac.in/wp-content/uploads/2026/01/CUET-UG-2026-Information-Bulletin_05012026.pdf</t>
  </si>
  <si>
    <t xml:space="preserve">Dates verified from the official CUET UG 2026 information bulletin; PD issue appearance inferred from standard coverage</t>
  </si>
  <si>
    <t xml:space="preserve">National Eligibility cum Entrance Test (NEET UG) 2026</t>
  </si>
  <si>
    <t xml:space="preserve">MBBS, BDS, AYUSH (BAMS, BUMS, BSMS, BHMS), BVSc and AH, and MNS BSc Nursing admission</t>
  </si>
  <si>
    <t xml:space="preserve">Fee per NTA bulletin (general category Rs 1,000 plus processing charges and GST as per notice)</t>
  </si>
  <si>
    <t xml:space="preserve">Applications 08-02-2026 to 08-03-2026 (extended to 11-03-2026); exam 03-05-2026, 2 pm to 5 pm</t>
  </si>
  <si>
    <t xml:space="preserve">2026-02</t>
  </si>
  <si>
    <t xml:space="preserve">https://neet.nta.nic.in</t>
  </si>
  <si>
    <t xml:space="preserve">https://cdnbbsr.s3waas.gov.in/s37bc1ec1d9c3426357e69acd5bf320061/uploads/2026/02/20260208399987696.pdf</t>
  </si>
  <si>
    <t xml:space="preserve">Dates verified from the official NTA public notice; PD issue appearance inferred from the magazine's routine medical-entrance coverage</t>
  </si>
  <si>
    <t xml:space="preserve">National Defence Academy and Naval Academy Examination (II) 2026</t>
  </si>
  <si>
    <t xml:space="preserve">Admission to Army, Navy and Air Force wings of NDA and Indian Naval Academy Course</t>
  </si>
  <si>
    <t xml:space="preserve">Per UPSC notification (born approx 2008-2011 as per NDA II 2026 norms)</t>
  </si>
  <si>
    <t xml:space="preserve">Twice yearly (II of 2026)</t>
  </si>
  <si>
    <t xml:space="preserve">Notification 20-05-2026; applications till 11-06-2026 6 pm; exam 13-09-2026; provisional answer keys released 16-09-2026</t>
  </si>
  <si>
    <t xml:space="preserve">2026-05</t>
  </si>
  <si>
    <t xml:space="preserve">https://www.upsc.gov.in/examinations/National%20Defence%20Academy%20and%20Naval%20Academy%20Examination%20%28II%29%2C%202026</t>
  </si>
  <si>
    <t xml:space="preserve">Key dates verified from the official UPSC examination page; note last date is 11-06-2026; PD issue appearance inferred from standard defence coverage</t>
  </si>
</sst>
</file>

<file path=xl/styles.xml><?xml version="1.0" encoding="utf-8"?>
<styleSheet xmlns="http://schemas.openxmlformats.org/spreadsheetml/2006/main">
  <numFmts count="2">
    <numFmt numFmtId="164" formatCode="General"/>
    <numFmt numFmtId="165" formatCode="General"/>
  </numFmts>
  <fonts count="11">
    <font>
      <sz val="11"/>
      <color rgb="FF000000"/>
      <name val="Calibri"/>
      <family val="2"/>
      <charset val="1"/>
    </font>
    <font>
      <sz val="10"/>
      <name val="Arial"/>
      <family val="0"/>
    </font>
    <font>
      <sz val="10"/>
      <name val="Arial"/>
      <family val="0"/>
    </font>
    <font>
      <sz val="10"/>
      <name val="Arial"/>
      <family val="0"/>
    </font>
    <font>
      <b val="true"/>
      <sz val="16"/>
      <color rgb="FF1F4E79"/>
      <name val="Arial"/>
      <family val="0"/>
      <charset val="1"/>
    </font>
    <font>
      <sz val="11"/>
      <color rgb="FF404040"/>
      <name val="Arial"/>
      <family val="0"/>
      <charset val="1"/>
    </font>
    <font>
      <b val="true"/>
      <sz val="12"/>
      <color rgb="FF1F4E79"/>
      <name val="Arial"/>
      <family val="0"/>
      <charset val="1"/>
    </font>
    <font>
      <sz val="10"/>
      <name val="Arial"/>
      <family val="0"/>
      <charset val="1"/>
    </font>
    <font>
      <b val="true"/>
      <sz val="10"/>
      <color rgb="FFFFFFFF"/>
      <name val="Arial"/>
      <family val="0"/>
      <charset val="1"/>
    </font>
    <font>
      <b val="true"/>
      <sz val="10"/>
      <name val="Arial"/>
      <family val="0"/>
      <charset val="1"/>
    </font>
    <font>
      <b val="true"/>
      <sz val="11"/>
      <color rgb="FF1F4E79"/>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FFC7CE"/>
        <bgColor rgb="FFEDEDED"/>
      </patternFill>
    </fill>
    <fill>
      <patternFill patternType="solid">
        <fgColor rgb="FFEDEDED"/>
        <bgColor rgb="FFFFFFFF"/>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79"/>
        </patternFill>
      </fill>
    </dxf>
    <dxf>
      <fill>
        <patternFill patternType="solid">
          <fgColor rgb="00FFFFFF"/>
        </patternFill>
      </fill>
    </dxf>
    <dxf>
      <fill>
        <patternFill patternType="solid">
          <fgColor rgb="FFFFFFFF"/>
        </patternFill>
      </fill>
    </dxf>
    <dxf>
      <fill>
        <patternFill patternType="solid">
          <fgColor rgb="FFC6EFCE"/>
        </patternFill>
      </fill>
    </dxf>
    <dxf>
      <fill>
        <patternFill patternType="solid">
          <fgColor rgb="FFEDEDED"/>
        </patternFill>
      </fill>
    </dxf>
    <dxf>
      <fill>
        <patternFill patternType="solid">
          <f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5"/>
    <col collapsed="false" customWidth="true" hidden="false" outlineLevel="0" max="4" min="4" style="0" width="16"/>
  </cols>
  <sheetData>
    <row r="2" customFormat="false" ht="15"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2" t="s">
        <v>2</v>
      </c>
    </row>
    <row r="6" customFormat="false" ht="15" hidden="false" customHeight="false" outlineLevel="0" collapsed="false">
      <c r="B6" s="3" t="s">
        <v>3</v>
      </c>
    </row>
    <row r="7" customFormat="false" ht="15" hidden="false" customHeight="true" outlineLevel="0" collapsed="false">
      <c r="B7" s="4" t="s">
        <v>4</v>
      </c>
      <c r="C7" s="4"/>
      <c r="D7" s="4"/>
    </row>
    <row r="8" customFormat="false" ht="15" hidden="false" customHeight="false" outlineLevel="0" collapsed="false">
      <c r="B8" s="4"/>
      <c r="C8" s="4"/>
      <c r="D8" s="4"/>
    </row>
    <row r="9" customFormat="false" ht="15" hidden="false" customHeight="true" outlineLevel="0" collapsed="false">
      <c r="B9" s="4" t="s">
        <v>5</v>
      </c>
      <c r="C9" s="4"/>
      <c r="D9" s="4"/>
    </row>
    <row r="10" customFormat="false" ht="15" hidden="false" customHeight="false" outlineLevel="0" collapsed="false">
      <c r="B10" s="4"/>
      <c r="C10" s="4"/>
      <c r="D10" s="4"/>
    </row>
    <row r="11" customFormat="false" ht="15" hidden="false" customHeight="true" outlineLevel="0" collapsed="false">
      <c r="B11" s="4" t="s">
        <v>6</v>
      </c>
      <c r="C11" s="4"/>
      <c r="D11" s="4"/>
    </row>
    <row r="12" customFormat="false" ht="15" hidden="false" customHeight="false" outlineLevel="0" collapsed="false">
      <c r="B12" s="4"/>
      <c r="C12" s="4"/>
      <c r="D12" s="4"/>
    </row>
    <row r="13" customFormat="false" ht="15" hidden="false" customHeight="true" outlineLevel="0" collapsed="false">
      <c r="B13" s="4" t="s">
        <v>7</v>
      </c>
      <c r="C13" s="4"/>
      <c r="D13" s="4"/>
    </row>
    <row r="14" customFormat="false" ht="15" hidden="false" customHeight="false" outlineLevel="0" collapsed="false">
      <c r="B14" s="4"/>
      <c r="C14" s="4"/>
      <c r="D14" s="4"/>
    </row>
    <row r="17" customFormat="false" ht="15" hidden="false" customHeight="false" outlineLevel="0" collapsed="false">
      <c r="B17" s="3" t="s">
        <v>8</v>
      </c>
    </row>
    <row r="18" customFormat="false" ht="15" hidden="false" customHeight="false" outlineLevel="0" collapsed="false">
      <c r="B18" s="5" t="s">
        <v>9</v>
      </c>
      <c r="C18" s="5" t="s">
        <v>10</v>
      </c>
      <c r="D18" s="5" t="s">
        <v>11</v>
      </c>
    </row>
    <row r="19" customFormat="false" ht="15" hidden="false" customHeight="false" outlineLevel="0" collapsed="false">
      <c r="B19" s="6" t="s">
        <v>12</v>
      </c>
      <c r="C19" s="7" t="s">
        <v>13</v>
      </c>
      <c r="D19" s="8" t="n">
        <f aca="false">COUNTIF(Log!B2:B300,"Scholarship / Fellowship")</f>
        <v>6</v>
      </c>
    </row>
    <row r="20" customFormat="false" ht="15" hidden="false" customHeight="false" outlineLevel="0" collapsed="false">
      <c r="B20" s="6" t="s">
        <v>14</v>
      </c>
      <c r="C20" s="7" t="s">
        <v>15</v>
      </c>
      <c r="D20" s="8" t="n">
        <f aca="false">COUNTIF(Log!B2:B300,"Internship")</f>
        <v>1</v>
      </c>
    </row>
    <row r="21" customFormat="false" ht="15" hidden="false" customHeight="false" outlineLevel="0" collapsed="false">
      <c r="B21" s="6" t="s">
        <v>16</v>
      </c>
      <c r="C21" s="7" t="s">
        <v>17</v>
      </c>
      <c r="D21" s="8" t="n">
        <f aca="false">COUNTIF(Log!B2:B300,"Admission / Entrance Exam")</f>
        <v>12</v>
      </c>
    </row>
    <row r="23" customFormat="false" ht="15" hidden="false" customHeight="false" outlineLevel="0" collapsed="false">
      <c r="B23" s="9" t="s">
        <v>18</v>
      </c>
      <c r="D23" s="10" t="n">
        <f aca="false">COUNTA(Log!A2:A300)</f>
        <v>19</v>
      </c>
    </row>
  </sheetData>
  <mergeCells count="4">
    <mergeCell ref="B7:D8"/>
    <mergeCell ref="B9:D10"/>
    <mergeCell ref="B11:D12"/>
    <mergeCell ref="B13: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9765625" defaultRowHeight="15" zeroHeight="false" outlineLevelRow="0" outlineLevelCol="0"/>
  <cols>
    <col collapsed="false" customWidth="true" hidden="false" outlineLevel="0" max="1" min="1" style="0" width="5"/>
    <col collapsed="false" customWidth="true" hidden="false" outlineLevel="0" max="2" min="2" style="0" width="17"/>
    <col collapsed="false" customWidth="true" hidden="false" outlineLevel="0" max="3" min="3" style="0" width="40"/>
    <col collapsed="false" customWidth="true" hidden="false" outlineLevel="0" max="4" min="4" style="0" width="30"/>
    <col collapsed="false" customWidth="true" hidden="false" outlineLevel="0" max="5" min="5" style="0" width="38"/>
    <col collapsed="false" customWidth="true" hidden="false" outlineLevel="0" max="6" min="6" style="0" width="20"/>
    <col collapsed="false" customWidth="true" hidden="false" outlineLevel="0" max="7" min="7" style="0" width="10"/>
    <col collapsed="false" customWidth="true" hidden="false" outlineLevel="0" max="8" min="8" style="0" width="16"/>
    <col collapsed="false" customWidth="true" hidden="false" outlineLevel="0" max="9" min="9" style="0" width="12"/>
    <col collapsed="false" customWidth="true" hidden="false" outlineLevel="0" max="10" min="10" style="0" width="18"/>
    <col collapsed="false" customWidth="true" hidden="false" outlineLevel="0" max="12" min="11" style="0" width="26"/>
    <col collapsed="false" customWidth="true" hidden="false" outlineLevel="0" max="13" min="13" style="0" width="12"/>
    <col collapsed="false" customWidth="true" hidden="false" outlineLevel="0" max="14" min="14" style="0" width="13"/>
    <col collapsed="false" customWidth="true" hidden="false" outlineLevel="0" max="15" min="15" style="0" width="30"/>
    <col collapsed="false" customWidth="true" hidden="false" outlineLevel="0" max="16" min="16" style="0" width="34"/>
    <col collapsed="false" customWidth="true" hidden="false" outlineLevel="0" max="17" min="17" style="0" width="38"/>
  </cols>
  <sheetData>
    <row r="1" customFormat="false" ht="15" hidden="false" customHeight="false" outlineLevel="0" collapsed="false">
      <c r="A1" s="11" t="s">
        <v>19</v>
      </c>
      <c r="B1" s="11" t="s">
        <v>20</v>
      </c>
      <c r="C1" s="11" t="s">
        <v>21</v>
      </c>
      <c r="D1" s="11" t="s">
        <v>22</v>
      </c>
      <c r="E1" s="11" t="s">
        <v>23</v>
      </c>
      <c r="F1" s="11" t="s">
        <v>24</v>
      </c>
      <c r="G1" s="11" t="s">
        <v>25</v>
      </c>
      <c r="H1" s="11" t="s">
        <v>26</v>
      </c>
      <c r="I1" s="11" t="s">
        <v>27</v>
      </c>
      <c r="J1" s="11" t="s">
        <v>28</v>
      </c>
      <c r="K1" s="11" t="s">
        <v>29</v>
      </c>
      <c r="L1" s="11" t="s">
        <v>30</v>
      </c>
      <c r="M1" s="11" t="s">
        <v>31</v>
      </c>
      <c r="N1" s="11" t="s">
        <v>32</v>
      </c>
      <c r="O1" s="11" t="s">
        <v>33</v>
      </c>
      <c r="P1" s="11" t="s">
        <v>34</v>
      </c>
      <c r="Q1" s="11" t="s">
        <v>35</v>
      </c>
    </row>
    <row r="2" customFormat="false" ht="15" hidden="false" customHeight="false" outlineLevel="0" collapsed="false">
      <c r="A2" s="7" t="n">
        <v>1</v>
      </c>
      <c r="B2" s="7" t="s">
        <v>12</v>
      </c>
      <c r="C2" s="7" t="s">
        <v>36</v>
      </c>
      <c r="D2" s="7" t="s">
        <v>37</v>
      </c>
      <c r="E2" s="7" t="s">
        <v>38</v>
      </c>
      <c r="F2" s="7" t="s">
        <v>39</v>
      </c>
      <c r="G2" s="7" t="s">
        <v>40</v>
      </c>
      <c r="H2" s="7" t="s">
        <v>41</v>
      </c>
      <c r="I2" s="7" t="s">
        <v>42</v>
      </c>
      <c r="J2" s="7" t="s">
        <v>43</v>
      </c>
      <c r="K2" s="7" t="s">
        <v>44</v>
      </c>
      <c r="L2" s="7" t="s">
        <v>45</v>
      </c>
      <c r="M2" s="12" t="s">
        <v>46</v>
      </c>
      <c r="N2" s="7" t="s">
        <v>47</v>
      </c>
      <c r="O2" s="7" t="s">
        <v>48</v>
      </c>
      <c r="P2" s="7" t="s">
        <v>49</v>
      </c>
      <c r="Q2" s="7" t="s">
        <v>50</v>
      </c>
    </row>
    <row r="3" customFormat="false" ht="15" hidden="false" customHeight="false" outlineLevel="0" collapsed="false">
      <c r="A3" s="7" t="n">
        <v>2</v>
      </c>
      <c r="B3" s="7" t="s">
        <v>12</v>
      </c>
      <c r="C3" s="7" t="s">
        <v>51</v>
      </c>
      <c r="D3" s="7" t="s">
        <v>52</v>
      </c>
      <c r="E3" s="7" t="s">
        <v>53</v>
      </c>
      <c r="F3" s="7" t="s">
        <v>54</v>
      </c>
      <c r="G3" s="7" t="s">
        <v>55</v>
      </c>
      <c r="H3" s="7" t="s">
        <v>56</v>
      </c>
      <c r="I3" s="7" t="s">
        <v>42</v>
      </c>
      <c r="J3" s="7" t="s">
        <v>43</v>
      </c>
      <c r="K3" s="7" t="s">
        <v>57</v>
      </c>
      <c r="L3" s="7" t="s">
        <v>58</v>
      </c>
      <c r="M3" s="12" t="s">
        <v>46</v>
      </c>
      <c r="N3" s="7" t="s">
        <v>59</v>
      </c>
      <c r="O3" s="7" t="s">
        <v>48</v>
      </c>
      <c r="P3" s="7" t="s">
        <v>60</v>
      </c>
      <c r="Q3" s="7" t="s">
        <v>61</v>
      </c>
    </row>
    <row r="4" customFormat="false" ht="15" hidden="false" customHeight="false" outlineLevel="0" collapsed="false">
      <c r="A4" s="7" t="n">
        <v>3</v>
      </c>
      <c r="B4" s="7" t="s">
        <v>12</v>
      </c>
      <c r="C4" s="7" t="s">
        <v>62</v>
      </c>
      <c r="D4" s="7" t="s">
        <v>63</v>
      </c>
      <c r="E4" s="7" t="s">
        <v>64</v>
      </c>
      <c r="F4" s="7" t="s">
        <v>65</v>
      </c>
      <c r="G4" s="7" t="s">
        <v>40</v>
      </c>
      <c r="H4" s="7" t="s">
        <v>42</v>
      </c>
      <c r="I4" s="7" t="s">
        <v>66</v>
      </c>
      <c r="J4" s="7" t="s">
        <v>67</v>
      </c>
      <c r="K4" s="7" t="s">
        <v>68</v>
      </c>
      <c r="L4" s="7" t="s">
        <v>69</v>
      </c>
      <c r="M4" s="12" t="s">
        <v>46</v>
      </c>
      <c r="N4" s="7" t="s">
        <v>70</v>
      </c>
      <c r="O4" s="7" t="s">
        <v>71</v>
      </c>
      <c r="P4" s="7" t="s">
        <v>72</v>
      </c>
      <c r="Q4" s="7" t="s">
        <v>73</v>
      </c>
    </row>
    <row r="5" customFormat="false" ht="15" hidden="false" customHeight="false" outlineLevel="0" collapsed="false">
      <c r="A5" s="7" t="n">
        <v>4</v>
      </c>
      <c r="B5" s="7" t="s">
        <v>12</v>
      </c>
      <c r="C5" s="7" t="s">
        <v>74</v>
      </c>
      <c r="D5" s="7" t="s">
        <v>63</v>
      </c>
      <c r="E5" s="7" t="s">
        <v>75</v>
      </c>
      <c r="F5" s="7" t="s">
        <v>65</v>
      </c>
      <c r="G5" s="7" t="s">
        <v>40</v>
      </c>
      <c r="H5" s="7" t="s">
        <v>42</v>
      </c>
      <c r="I5" s="7" t="s">
        <v>76</v>
      </c>
      <c r="J5" s="7" t="s">
        <v>77</v>
      </c>
      <c r="K5" s="7" t="s">
        <v>78</v>
      </c>
      <c r="L5" s="7" t="s">
        <v>79</v>
      </c>
      <c r="M5" s="13" t="s">
        <v>80</v>
      </c>
      <c r="N5" s="7" t="s">
        <v>81</v>
      </c>
      <c r="O5" s="7" t="s">
        <v>71</v>
      </c>
      <c r="P5" s="7" t="s">
        <v>82</v>
      </c>
      <c r="Q5" s="7" t="s">
        <v>83</v>
      </c>
    </row>
    <row r="6" customFormat="false" ht="15" hidden="false" customHeight="false" outlineLevel="0" collapsed="false">
      <c r="A6" s="7" t="n">
        <v>5</v>
      </c>
      <c r="B6" s="7" t="s">
        <v>12</v>
      </c>
      <c r="C6" s="7" t="s">
        <v>84</v>
      </c>
      <c r="D6" s="7" t="s">
        <v>85</v>
      </c>
      <c r="E6" s="7" t="s">
        <v>86</v>
      </c>
      <c r="F6" s="7" t="s">
        <v>87</v>
      </c>
      <c r="G6" s="7" t="s">
        <v>88</v>
      </c>
      <c r="H6" s="7" t="s">
        <v>89</v>
      </c>
      <c r="I6" s="7" t="s">
        <v>42</v>
      </c>
      <c r="J6" s="7" t="s">
        <v>90</v>
      </c>
      <c r="K6" s="7" t="s">
        <v>91</v>
      </c>
      <c r="L6" s="7" t="s">
        <v>92</v>
      </c>
      <c r="M6" s="14" t="s">
        <v>93</v>
      </c>
      <c r="N6" s="7" t="s">
        <v>94</v>
      </c>
      <c r="O6" s="7" t="s">
        <v>48</v>
      </c>
      <c r="P6" s="7" t="s">
        <v>95</v>
      </c>
      <c r="Q6" s="7" t="s">
        <v>96</v>
      </c>
    </row>
    <row r="7" customFormat="false" ht="15" hidden="false" customHeight="false" outlineLevel="0" collapsed="false">
      <c r="A7" s="7" t="n">
        <v>6</v>
      </c>
      <c r="B7" s="7" t="s">
        <v>12</v>
      </c>
      <c r="C7" s="7" t="s">
        <v>97</v>
      </c>
      <c r="D7" s="7" t="s">
        <v>98</v>
      </c>
      <c r="E7" s="7" t="s">
        <v>99</v>
      </c>
      <c r="F7" s="7" t="s">
        <v>65</v>
      </c>
      <c r="G7" s="7" t="s">
        <v>40</v>
      </c>
      <c r="H7" s="7" t="s">
        <v>42</v>
      </c>
      <c r="I7" s="7" t="s">
        <v>42</v>
      </c>
      <c r="J7" s="7" t="s">
        <v>100</v>
      </c>
      <c r="K7" s="7" t="s">
        <v>101</v>
      </c>
      <c r="L7" s="7" t="s">
        <v>102</v>
      </c>
      <c r="M7" s="13" t="s">
        <v>80</v>
      </c>
      <c r="N7" s="7" t="s">
        <v>103</v>
      </c>
      <c r="O7" s="7" t="s">
        <v>104</v>
      </c>
      <c r="P7" s="7" t="s">
        <v>105</v>
      </c>
      <c r="Q7" s="7" t="s">
        <v>106</v>
      </c>
    </row>
    <row r="8" customFormat="false" ht="15" hidden="false" customHeight="false" outlineLevel="0" collapsed="false">
      <c r="A8" s="7" t="n">
        <v>7</v>
      </c>
      <c r="B8" s="7" t="s">
        <v>14</v>
      </c>
      <c r="C8" s="7" t="s">
        <v>107</v>
      </c>
      <c r="D8" s="7" t="s">
        <v>108</v>
      </c>
      <c r="E8" s="7" t="s">
        <v>109</v>
      </c>
      <c r="F8" s="7" t="s">
        <v>65</v>
      </c>
      <c r="G8" s="7" t="s">
        <v>40</v>
      </c>
      <c r="H8" s="7" t="s">
        <v>110</v>
      </c>
      <c r="I8" s="7" t="s">
        <v>111</v>
      </c>
      <c r="J8" s="7" t="s">
        <v>112</v>
      </c>
      <c r="K8" s="7" t="s">
        <v>113</v>
      </c>
      <c r="L8" s="7" t="s">
        <v>114</v>
      </c>
      <c r="M8" s="12" t="s">
        <v>46</v>
      </c>
      <c r="N8" s="7" t="s">
        <v>115</v>
      </c>
      <c r="O8" s="7" t="s">
        <v>116</v>
      </c>
      <c r="P8" s="7" t="s">
        <v>117</v>
      </c>
      <c r="Q8" s="7" t="s">
        <v>118</v>
      </c>
    </row>
    <row r="9" customFormat="false" ht="15" hidden="false" customHeight="false" outlineLevel="0" collapsed="false">
      <c r="A9" s="7" t="n">
        <v>8</v>
      </c>
      <c r="B9" s="7" t="s">
        <v>16</v>
      </c>
      <c r="C9" s="7" t="s">
        <v>119</v>
      </c>
      <c r="D9" s="7" t="s">
        <v>120</v>
      </c>
      <c r="E9" s="7" t="s">
        <v>121</v>
      </c>
      <c r="F9" s="7" t="s">
        <v>65</v>
      </c>
      <c r="G9" s="7" t="s">
        <v>40</v>
      </c>
      <c r="H9" s="7" t="s">
        <v>42</v>
      </c>
      <c r="I9" s="7" t="s">
        <v>42</v>
      </c>
      <c r="J9" s="7" t="s">
        <v>122</v>
      </c>
      <c r="K9" s="7" t="s">
        <v>123</v>
      </c>
      <c r="L9" s="7" t="s">
        <v>124</v>
      </c>
      <c r="M9" s="12" t="s">
        <v>46</v>
      </c>
      <c r="N9" s="7" t="s">
        <v>115</v>
      </c>
      <c r="O9" s="7" t="s">
        <v>125</v>
      </c>
      <c r="P9" s="7" t="s">
        <v>126</v>
      </c>
      <c r="Q9" s="7" t="s">
        <v>127</v>
      </c>
    </row>
    <row r="10" customFormat="false" ht="15" hidden="false" customHeight="false" outlineLevel="0" collapsed="false">
      <c r="A10" s="7" t="n">
        <v>9</v>
      </c>
      <c r="B10" s="7" t="s">
        <v>16</v>
      </c>
      <c r="C10" s="7" t="s">
        <v>128</v>
      </c>
      <c r="D10" s="7" t="s">
        <v>129</v>
      </c>
      <c r="E10" s="7" t="s">
        <v>130</v>
      </c>
      <c r="F10" s="7" t="s">
        <v>65</v>
      </c>
      <c r="G10" s="7" t="s">
        <v>40</v>
      </c>
      <c r="H10" s="7" t="s">
        <v>42</v>
      </c>
      <c r="I10" s="7" t="s">
        <v>42</v>
      </c>
      <c r="J10" s="7" t="s">
        <v>131</v>
      </c>
      <c r="K10" s="7" t="s">
        <v>132</v>
      </c>
      <c r="L10" s="7" t="s">
        <v>133</v>
      </c>
      <c r="M10" s="12" t="s">
        <v>46</v>
      </c>
      <c r="N10" s="7" t="s">
        <v>134</v>
      </c>
      <c r="O10" s="7" t="s">
        <v>135</v>
      </c>
      <c r="P10" s="7" t="s">
        <v>136</v>
      </c>
      <c r="Q10" s="7" t="s">
        <v>137</v>
      </c>
    </row>
    <row r="11" customFormat="false" ht="15" hidden="false" customHeight="false" outlineLevel="0" collapsed="false">
      <c r="A11" s="7" t="n">
        <v>10</v>
      </c>
      <c r="B11" s="7" t="s">
        <v>16</v>
      </c>
      <c r="C11" s="7" t="s">
        <v>138</v>
      </c>
      <c r="D11" s="7" t="s">
        <v>139</v>
      </c>
      <c r="E11" s="7" t="s">
        <v>140</v>
      </c>
      <c r="F11" s="7" t="s">
        <v>65</v>
      </c>
      <c r="G11" s="7" t="s">
        <v>40</v>
      </c>
      <c r="H11" s="7" t="s">
        <v>42</v>
      </c>
      <c r="I11" s="7" t="s">
        <v>42</v>
      </c>
      <c r="J11" s="7" t="s">
        <v>122</v>
      </c>
      <c r="K11" s="7" t="s">
        <v>141</v>
      </c>
      <c r="L11" s="7" t="s">
        <v>142</v>
      </c>
      <c r="M11" s="12" t="s">
        <v>46</v>
      </c>
      <c r="N11" s="7" t="s">
        <v>143</v>
      </c>
      <c r="O11" s="7" t="s">
        <v>144</v>
      </c>
      <c r="P11" s="7" t="s">
        <v>145</v>
      </c>
      <c r="Q11" s="7" t="s">
        <v>146</v>
      </c>
    </row>
    <row r="12" customFormat="false" ht="15" hidden="false" customHeight="false" outlineLevel="0" collapsed="false">
      <c r="A12" s="7" t="n">
        <v>11</v>
      </c>
      <c r="B12" s="7" t="s">
        <v>16</v>
      </c>
      <c r="C12" s="7" t="s">
        <v>147</v>
      </c>
      <c r="D12" s="7" t="s">
        <v>148</v>
      </c>
      <c r="E12" s="7" t="s">
        <v>149</v>
      </c>
      <c r="F12" s="7" t="s">
        <v>65</v>
      </c>
      <c r="G12" s="7" t="s">
        <v>40</v>
      </c>
      <c r="H12" s="7" t="s">
        <v>42</v>
      </c>
      <c r="I12" s="7" t="s">
        <v>42</v>
      </c>
      <c r="J12" s="7" t="s">
        <v>122</v>
      </c>
      <c r="K12" s="7" t="s">
        <v>150</v>
      </c>
      <c r="L12" s="7" t="s">
        <v>151</v>
      </c>
      <c r="M12" s="12" t="s">
        <v>46</v>
      </c>
      <c r="N12" s="7" t="s">
        <v>70</v>
      </c>
      <c r="O12" s="7" t="s">
        <v>152</v>
      </c>
      <c r="P12" s="7" t="s">
        <v>153</v>
      </c>
      <c r="Q12" s="7" t="s">
        <v>154</v>
      </c>
    </row>
    <row r="13" customFormat="false" ht="15" hidden="false" customHeight="false" outlineLevel="0" collapsed="false">
      <c r="A13" s="7" t="n">
        <v>12</v>
      </c>
      <c r="B13" s="7" t="s">
        <v>16</v>
      </c>
      <c r="C13" s="7" t="s">
        <v>155</v>
      </c>
      <c r="D13" s="7" t="s">
        <v>156</v>
      </c>
      <c r="E13" s="7" t="s">
        <v>157</v>
      </c>
      <c r="F13" s="7" t="s">
        <v>65</v>
      </c>
      <c r="G13" s="7" t="s">
        <v>40</v>
      </c>
      <c r="H13" s="7" t="s">
        <v>42</v>
      </c>
      <c r="I13" s="7" t="s">
        <v>42</v>
      </c>
      <c r="J13" s="7" t="s">
        <v>122</v>
      </c>
      <c r="K13" s="7" t="s">
        <v>158</v>
      </c>
      <c r="L13" s="7" t="s">
        <v>159</v>
      </c>
      <c r="M13" s="12" t="s">
        <v>46</v>
      </c>
      <c r="N13" s="7" t="s">
        <v>70</v>
      </c>
      <c r="O13" s="7" t="s">
        <v>160</v>
      </c>
      <c r="P13" s="7" t="s">
        <v>161</v>
      </c>
      <c r="Q13" s="7" t="s">
        <v>162</v>
      </c>
    </row>
    <row r="14" customFormat="false" ht="15" hidden="false" customHeight="false" outlineLevel="0" collapsed="false">
      <c r="A14" s="7" t="n">
        <v>13</v>
      </c>
      <c r="B14" s="7" t="s">
        <v>16</v>
      </c>
      <c r="C14" s="7" t="s">
        <v>163</v>
      </c>
      <c r="D14" s="7" t="s">
        <v>164</v>
      </c>
      <c r="E14" s="7" t="s">
        <v>165</v>
      </c>
      <c r="F14" s="7" t="s">
        <v>65</v>
      </c>
      <c r="G14" s="7" t="s">
        <v>40</v>
      </c>
      <c r="H14" s="7" t="s">
        <v>42</v>
      </c>
      <c r="I14" s="7" t="s">
        <v>166</v>
      </c>
      <c r="J14" s="7" t="s">
        <v>122</v>
      </c>
      <c r="K14" s="7" t="s">
        <v>167</v>
      </c>
      <c r="L14" s="7" t="s">
        <v>168</v>
      </c>
      <c r="M14" s="12" t="s">
        <v>46</v>
      </c>
      <c r="N14" s="7" t="s">
        <v>169</v>
      </c>
      <c r="O14" s="7" t="s">
        <v>170</v>
      </c>
      <c r="P14" s="7" t="s">
        <v>171</v>
      </c>
      <c r="Q14" s="7" t="s">
        <v>172</v>
      </c>
    </row>
    <row r="15" customFormat="false" ht="15" hidden="false" customHeight="false" outlineLevel="0" collapsed="false">
      <c r="A15" s="7" t="n">
        <v>14</v>
      </c>
      <c r="B15" s="7" t="s">
        <v>16</v>
      </c>
      <c r="C15" s="7" t="s">
        <v>173</v>
      </c>
      <c r="D15" s="7" t="s">
        <v>120</v>
      </c>
      <c r="E15" s="7" t="s">
        <v>174</v>
      </c>
      <c r="F15" s="7" t="s">
        <v>65</v>
      </c>
      <c r="G15" s="7" t="s">
        <v>40</v>
      </c>
      <c r="H15" s="7" t="s">
        <v>42</v>
      </c>
      <c r="I15" s="7" t="s">
        <v>42</v>
      </c>
      <c r="J15" s="7" t="s">
        <v>175</v>
      </c>
      <c r="K15" s="7" t="s">
        <v>176</v>
      </c>
      <c r="L15" s="7" t="s">
        <v>177</v>
      </c>
      <c r="M15" s="12" t="s">
        <v>46</v>
      </c>
      <c r="N15" s="7" t="s">
        <v>178</v>
      </c>
      <c r="O15" s="7" t="s">
        <v>179</v>
      </c>
      <c r="P15" s="7" t="s">
        <v>180</v>
      </c>
      <c r="Q15" s="7" t="s">
        <v>181</v>
      </c>
    </row>
    <row r="16" customFormat="false" ht="15" hidden="false" customHeight="false" outlineLevel="0" collapsed="false">
      <c r="A16" s="7" t="n">
        <v>15</v>
      </c>
      <c r="B16" s="7" t="s">
        <v>16</v>
      </c>
      <c r="C16" s="7" t="s">
        <v>182</v>
      </c>
      <c r="D16" s="7" t="s">
        <v>183</v>
      </c>
      <c r="E16" s="7" t="s">
        <v>184</v>
      </c>
      <c r="F16" s="7" t="s">
        <v>65</v>
      </c>
      <c r="G16" s="7" t="s">
        <v>185</v>
      </c>
      <c r="H16" s="7" t="s">
        <v>42</v>
      </c>
      <c r="I16" s="7" t="s">
        <v>186</v>
      </c>
      <c r="J16" s="7" t="s">
        <v>187</v>
      </c>
      <c r="K16" s="7" t="s">
        <v>188</v>
      </c>
      <c r="L16" s="7" t="s">
        <v>189</v>
      </c>
      <c r="M16" s="12" t="s">
        <v>46</v>
      </c>
      <c r="N16" s="7" t="s">
        <v>190</v>
      </c>
      <c r="O16" s="7" t="s">
        <v>191</v>
      </c>
      <c r="P16" s="7" t="s">
        <v>192</v>
      </c>
      <c r="Q16" s="7" t="s">
        <v>193</v>
      </c>
    </row>
    <row r="17" customFormat="false" ht="15" hidden="false" customHeight="false" outlineLevel="0" collapsed="false">
      <c r="A17" s="7" t="n">
        <v>16</v>
      </c>
      <c r="B17" s="7" t="s">
        <v>16</v>
      </c>
      <c r="C17" s="7" t="s">
        <v>194</v>
      </c>
      <c r="D17" s="7" t="s">
        <v>120</v>
      </c>
      <c r="E17" s="7" t="s">
        <v>195</v>
      </c>
      <c r="F17" s="7" t="s">
        <v>65</v>
      </c>
      <c r="G17" s="7" t="s">
        <v>40</v>
      </c>
      <c r="H17" s="7" t="s">
        <v>42</v>
      </c>
      <c r="I17" s="7" t="s">
        <v>42</v>
      </c>
      <c r="J17" s="7" t="s">
        <v>122</v>
      </c>
      <c r="K17" s="7" t="s">
        <v>196</v>
      </c>
      <c r="L17" s="7" t="s">
        <v>197</v>
      </c>
      <c r="M17" s="12" t="s">
        <v>46</v>
      </c>
      <c r="N17" s="7" t="s">
        <v>190</v>
      </c>
      <c r="O17" s="7" t="s">
        <v>198</v>
      </c>
      <c r="P17" s="7" t="s">
        <v>199</v>
      </c>
      <c r="Q17" s="7" t="s">
        <v>200</v>
      </c>
    </row>
    <row r="18" customFormat="false" ht="15" hidden="false" customHeight="false" outlineLevel="0" collapsed="false">
      <c r="A18" s="7" t="n">
        <v>17</v>
      </c>
      <c r="B18" s="7" t="s">
        <v>16</v>
      </c>
      <c r="C18" s="7" t="s">
        <v>201</v>
      </c>
      <c r="D18" s="7" t="s">
        <v>120</v>
      </c>
      <c r="E18" s="7" t="s">
        <v>121</v>
      </c>
      <c r="F18" s="7" t="s">
        <v>65</v>
      </c>
      <c r="G18" s="7" t="s">
        <v>40</v>
      </c>
      <c r="H18" s="7" t="s">
        <v>42</v>
      </c>
      <c r="I18" s="7" t="s">
        <v>42</v>
      </c>
      <c r="J18" s="7" t="s">
        <v>122</v>
      </c>
      <c r="K18" s="7" t="s">
        <v>123</v>
      </c>
      <c r="L18" s="7" t="s">
        <v>202</v>
      </c>
      <c r="M18" s="12" t="s">
        <v>46</v>
      </c>
      <c r="N18" s="7" t="s">
        <v>203</v>
      </c>
      <c r="O18" s="7" t="s">
        <v>125</v>
      </c>
      <c r="P18" s="7" t="s">
        <v>204</v>
      </c>
      <c r="Q18" s="7" t="s">
        <v>205</v>
      </c>
    </row>
    <row r="19" customFormat="false" ht="15" hidden="false" customHeight="false" outlineLevel="0" collapsed="false">
      <c r="A19" s="7" t="n">
        <v>18</v>
      </c>
      <c r="B19" s="7" t="s">
        <v>16</v>
      </c>
      <c r="C19" s="7" t="s">
        <v>206</v>
      </c>
      <c r="D19" s="7" t="s">
        <v>120</v>
      </c>
      <c r="E19" s="7" t="s">
        <v>207</v>
      </c>
      <c r="F19" s="7" t="s">
        <v>65</v>
      </c>
      <c r="G19" s="7" t="s">
        <v>40</v>
      </c>
      <c r="H19" s="7" t="s">
        <v>42</v>
      </c>
      <c r="I19" s="7" t="s">
        <v>42</v>
      </c>
      <c r="J19" s="7" t="s">
        <v>122</v>
      </c>
      <c r="K19" s="7" t="s">
        <v>208</v>
      </c>
      <c r="L19" s="7" t="s">
        <v>209</v>
      </c>
      <c r="M19" s="12" t="s">
        <v>46</v>
      </c>
      <c r="N19" s="7" t="s">
        <v>210</v>
      </c>
      <c r="O19" s="7" t="s">
        <v>211</v>
      </c>
      <c r="P19" s="7" t="s">
        <v>212</v>
      </c>
      <c r="Q19" s="7" t="s">
        <v>213</v>
      </c>
    </row>
    <row r="20" customFormat="false" ht="15" hidden="false" customHeight="false" outlineLevel="0" collapsed="false">
      <c r="A20" s="7" t="n">
        <v>19</v>
      </c>
      <c r="B20" s="7" t="s">
        <v>16</v>
      </c>
      <c r="C20" s="7" t="s">
        <v>214</v>
      </c>
      <c r="D20" s="7" t="s">
        <v>183</v>
      </c>
      <c r="E20" s="7" t="s">
        <v>215</v>
      </c>
      <c r="F20" s="7" t="s">
        <v>65</v>
      </c>
      <c r="G20" s="7" t="s">
        <v>185</v>
      </c>
      <c r="H20" s="7" t="s">
        <v>42</v>
      </c>
      <c r="I20" s="7" t="s">
        <v>216</v>
      </c>
      <c r="J20" s="7" t="s">
        <v>217</v>
      </c>
      <c r="K20" s="7" t="s">
        <v>188</v>
      </c>
      <c r="L20" s="7" t="s">
        <v>218</v>
      </c>
      <c r="M20" s="12" t="s">
        <v>46</v>
      </c>
      <c r="N20" s="7" t="s">
        <v>219</v>
      </c>
      <c r="O20" s="7" t="s">
        <v>191</v>
      </c>
      <c r="P20" s="7" t="s">
        <v>220</v>
      </c>
      <c r="Q20" s="7" t="s">
        <v>221</v>
      </c>
    </row>
  </sheetData>
  <autoFilter ref="A1:Q20"/>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2026-09-28T06:29:37Z</dcterms:created>
  <dc:creator>openpyxl</dc:creator>
  <dc:description/>
  <dc:language>en-US</dc:language>
  <cp:lastModifiedBy/>
  <dcterms:modified xsi:type="dcterms:W3CDTF">2026-09-28T06:29:37Z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