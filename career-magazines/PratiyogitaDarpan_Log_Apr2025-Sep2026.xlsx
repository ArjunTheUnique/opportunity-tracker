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Overview" sheetId="1" state="visible" r:id="rId1"/>
    <sheet xmlns:r="http://schemas.openxmlformats.org/officeDocument/2006/relationships" name="Log" sheetId="2" state="visible" r:id="rId2"/>
  </sheets>
  <definedNames>
    <definedName name="_xlnm._FilterDatabase" localSheetId="1" hidden="1">'Log'!$A$1:$Q$20</definedName>
  </definedNames>
  <calcPr calcId="124519" fullCalcOnLoad="1" refMode="A1" iterate="0" iterateCount="100" iterateDelta="0.0001"/>
</workbook>
</file>

<file path=xl/styles.xml><?xml version="1.0" encoding="utf-8"?>
<styleSheet xmlns="http://schemas.openxmlformats.org/spreadsheetml/2006/main">
  <numFmts count="0"/>
  <fonts count="11">
    <font>
      <name val="Calibri"/>
      <charset val="1"/>
      <family val="2"/>
      <color rgb="FF000000"/>
      <sz val="11"/>
    </font>
    <font>
      <name val="Arial"/>
      <family val="0"/>
      <sz val="10"/>
    </font>
    <font>
      <name val="Arial"/>
      <family val="0"/>
      <sz val="10"/>
    </font>
    <font>
      <name val="Arial"/>
      <family val="0"/>
      <sz val="10"/>
    </font>
    <font>
      <name val="Arial"/>
      <charset val="1"/>
      <family val="0"/>
      <b val="1"/>
      <color rgb="FF1F4E79"/>
      <sz val="16"/>
    </font>
    <font>
      <name val="Arial"/>
      <charset val="1"/>
      <family val="0"/>
      <color rgb="FF404040"/>
      <sz val="11"/>
    </font>
    <font>
      <name val="Arial"/>
      <charset val="1"/>
      <family val="0"/>
      <b val="1"/>
      <color rgb="FF1F4E79"/>
      <sz val="12"/>
    </font>
    <font>
      <name val="Arial"/>
      <charset val="1"/>
      <family val="0"/>
      <sz val="10"/>
    </font>
    <font>
      <name val="Arial"/>
      <charset val="1"/>
      <family val="0"/>
      <b val="1"/>
      <color rgb="FFFFFFFF"/>
      <sz val="10"/>
    </font>
    <font>
      <name val="Arial"/>
      <charset val="1"/>
      <family val="0"/>
      <b val="1"/>
      <sz val="10"/>
    </font>
    <font>
      <name val="Arial"/>
      <charset val="1"/>
      <family val="0"/>
      <b val="1"/>
      <color rgb="FF1F4E79"/>
      <sz val="11"/>
    </font>
  </fonts>
  <fills count="6">
    <fill>
      <patternFill/>
    </fill>
    <fill>
      <patternFill patternType="gray125"/>
    </fill>
    <fill>
      <patternFill patternType="solid">
        <fgColor rgb="FF1F4E79"/>
        <bgColor rgb="FF003366"/>
      </patternFill>
    </fill>
    <fill>
      <patternFill patternType="solid">
        <fgColor rgb="FFFFC7CE"/>
        <bgColor rgb="FFEDEDED"/>
      </patternFill>
    </fill>
    <fill>
      <patternFill patternType="solid">
        <fgColor rgb="FFEDEDED"/>
        <bgColor rgb="FFFFFFFF"/>
      </patternFill>
    </fill>
    <fill>
      <patternFill patternType="solid">
        <fgColor rgb="FFC6EFCE"/>
        <bgColor rgb="FFCCFFFF"/>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2" borderId="0" applyAlignment="1" pivotButton="0" quotePrefix="0" xfId="0">
      <alignment horizontal="general" vertical="bottom"/>
    </xf>
    <xf numFmtId="0" fontId="9" fillId="0" borderId="1" applyAlignment="1" pivotButton="0" quotePrefix="0" xfId="0">
      <alignment horizontal="general" vertical="bottom"/>
    </xf>
    <xf numFmtId="0" fontId="7" fillId="0" borderId="1" applyAlignment="1" pivotButton="0" quotePrefix="0" xfId="0">
      <alignment horizontal="general" vertical="top" wrapText="1"/>
    </xf>
    <xf numFmtId="0" fontId="9" fillId="0" borderId="1" applyAlignment="1" pivotButton="0" quotePrefix="0" xfId="0">
      <alignment horizontal="center" vertical="bottom"/>
    </xf>
    <xf numFmtId="0" fontId="10" fillId="0" borderId="0" applyAlignment="1" pivotButton="0" quotePrefix="0" xfId="0">
      <alignment horizontal="general" vertical="bottom"/>
    </xf>
    <xf numFmtId="0" fontId="10" fillId="0" borderId="0" applyAlignment="1" pivotButton="0" quotePrefix="0" xfId="0">
      <alignment horizontal="center" vertical="bottom"/>
    </xf>
    <xf numFmtId="0" fontId="8" fillId="2" borderId="1" applyAlignment="1" pivotButton="0" quotePrefix="0" xfId="0">
      <alignment horizontal="center" vertical="center" wrapText="1"/>
    </xf>
    <xf numFmtId="0" fontId="7" fillId="3" borderId="1" applyAlignment="1" pivotButton="0" quotePrefix="0" xfId="0">
      <alignment horizontal="general" vertical="top" wrapText="1"/>
    </xf>
    <xf numFmtId="0" fontId="7" fillId="4" borderId="1" applyAlignment="1" pivotButton="0" quotePrefix="0" xfId="0">
      <alignment horizontal="general" vertical="top" wrapText="1"/>
    </xf>
    <xf numFmtId="0" fontId="7" fillId="5"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2" borderId="0" applyAlignment="1" pivotButton="0" quotePrefix="0" xfId="0">
      <alignment horizontal="general" vertical="bottom"/>
    </xf>
    <xf numFmtId="0" fontId="9" fillId="0" borderId="1" applyAlignment="1" pivotButton="0" quotePrefix="0" xfId="0">
      <alignment horizontal="general" vertical="bottom"/>
    </xf>
    <xf numFmtId="0" fontId="7" fillId="0" borderId="1" applyAlignment="1" pivotButton="0" quotePrefix="0" xfId="0">
      <alignment horizontal="general" vertical="top" wrapText="1"/>
    </xf>
    <xf numFmtId="0" fontId="9" fillId="0" borderId="1" applyAlignment="1" pivotButton="0" quotePrefix="0" xfId="0">
      <alignment horizontal="center" vertical="bottom"/>
    </xf>
    <xf numFmtId="0" fontId="10" fillId="0" borderId="0" applyAlignment="1" pivotButton="0" quotePrefix="0" xfId="0">
      <alignment horizontal="general" vertical="bottom"/>
    </xf>
    <xf numFmtId="0" fontId="10" fillId="0" borderId="0" applyAlignment="1" pivotButton="0" quotePrefix="0" xfId="0">
      <alignment horizontal="center" vertical="bottom"/>
    </xf>
    <xf numFmtId="0" fontId="8" fillId="2" borderId="1" applyAlignment="1" pivotButton="0" quotePrefix="0" xfId="0">
      <alignment horizontal="center" vertical="center" wrapText="1"/>
    </xf>
    <xf numFmtId="0" fontId="7" fillId="3" borderId="1" applyAlignment="1" pivotButton="0" quotePrefix="0" xfId="0">
      <alignment horizontal="general" vertical="top" wrapText="1"/>
    </xf>
    <xf numFmtId="0" fontId="7" fillId="4" borderId="1" applyAlignment="1" pivotButton="0" quotePrefix="0" xfId="0">
      <alignment horizontal="general" vertical="top" wrapText="1"/>
    </xf>
    <xf numFmtId="0" fontId="7" fillId="5" borderId="1" applyAlignment="1" pivotButton="0" quotePrefix="0" xfId="0">
      <alignment horizontal="general" vertical="top" wrapText="1"/>
    </xf>
    <xf numFmtId="0" fontId="0" fillId="0"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6">
    <dxf>
      <fill>
        <patternFill patternType="solid">
          <fgColor rgb="FF1F4E79"/>
        </patternFill>
      </fill>
    </dxf>
    <dxf>
      <fill>
        <patternFill patternType="solid">
          <fgColor rgb="00FFFFFF"/>
        </patternFill>
      </fill>
    </dxf>
    <dxf>
      <fill>
        <patternFill patternType="solid">
          <fgColor rgb="FFFFFFFF"/>
        </patternFill>
      </fill>
    </dxf>
    <dxf>
      <fill>
        <patternFill patternType="solid">
          <fgColor rgb="FFC6EFCE"/>
        </patternFill>
      </fill>
    </dxf>
    <dxf>
      <fill>
        <patternFill patternType="solid">
          <fgColor rgb="FFEDEDED"/>
        </patternFill>
      </fill>
    </dxf>
    <dxf>
      <fill>
        <patternFill patternType="solid">
          <fgColor rgb="FFFFC7CE"/>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EDEDED"/>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404040"/>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filterMode="0">
    <outlinePr summaryBelow="1" summaryRight="1"/>
    <pageSetUpPr fitToPage="0"/>
  </sheetPr>
  <dimension ref="A1:D23"/>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zeroHeight="0" outlineLevelRow="0"/>
  <cols>
    <col width="3" customWidth="1" style="16" min="1" max="1"/>
    <col width="30" customWidth="1" style="16" min="2" max="2"/>
    <col width="95" customWidth="1" style="16" min="3" max="3"/>
    <col width="16" customWidth="1" style="16" min="4" max="4"/>
  </cols>
  <sheetData>
    <row r="1"/>
    <row r="2" ht="15" customHeight="1" s="17">
      <c r="B2" s="18" t="inlineStr">
        <is>
          <t>Pratiyogita Darpan - Opportunities Log</t>
        </is>
      </c>
    </row>
    <row r="3" ht="15" customHeight="1" s="17">
      <c r="B3" s="19" t="inlineStr">
        <is>
          <t>Coverage window: April 2025 - October 2026 (19 months) | Sections logged: scholarships &amp; fellowships, internships, admissions &amp; entrance exams (no government job recruitment, per scope)</t>
        </is>
      </c>
    </row>
    <row r="4" ht="15" customHeight="1" s="17">
      <c r="B4" s="19" t="inlineStr">
        <is>
          <t>Compiled 28 October 2026 | updated 29 October 2026 with the November 2026 issue admissions/entrance entries (CLAT 2027, UGC NET Dec 2026, CSIR-UGC NET Dec 2026, NIFTEE 2027, NMAT 2026-27)</t>
        </is>
      </c>
    </row>
    <row r="5"/>
    <row r="6" ht="15" customHeight="1" s="17">
      <c r="B6" s="20" t="inlineStr">
        <is>
          <t>Method &amp; caveats</t>
        </is>
      </c>
    </row>
    <row r="7" ht="15" customHeight="1" s="17">
      <c r="B7" s="21" t="inlineStr">
        <is>
          <t>Print archives of this magazine are not publicly accessible in bulk, so entries were compiled from the magazine's own website/web editions where available, and from official notification portals and reputable coverage elsewhere. The Source(s) column links where each fact was verified, and the Notes column states whether the item's appearance in a specific magazine issue was directly verified or inferred from the magazine's normal coverage.</t>
        </is>
      </c>
    </row>
    <row r="8" ht="15" customHeight="1" s="17"/>
    <row r="9" ht="15" customHeight="1" s="17">
      <c r="B9" s="21" t="inlineStr">
        <is>
          <t>Coverage Month = the month(s) the item appeared (or would customarily appear) in the magazine, based on the notification's own public timeline.</t>
        </is>
      </c>
    </row>
    <row r="10" ht="15" customHeight="1" s="17"/>
    <row r="11" ht="15" customHeight="1" s="17">
      <c r="B11" s="21" t="inlineStr">
        <is>
          <t>Status is as of 28 October 2026: green = open now, blue = rolling applications, amber = upcoming, grey = dates to be announced, red = closed.</t>
        </is>
      </c>
    </row>
    <row r="12" ht="15" customHeight="1" s="17"/>
    <row r="13" ht="15" customHeight="1" s="17">
      <c r="B13" s="21" t="inlineStr">
        <is>
          <t>Deadlines and fees change - always verify on the Official Website column before relying on any date. This is an information compilation, not an endorsement; never apply through third-party paid agents.</t>
        </is>
      </c>
    </row>
    <row r="14" ht="15" customHeight="1" s="17"/>
    <row r="15"/>
    <row r="16"/>
    <row r="17" ht="15" customHeight="1" s="17">
      <c r="B17" s="20" t="inlineStr">
        <is>
          <t>Entries by section</t>
        </is>
      </c>
    </row>
    <row r="18" ht="15" customHeight="1" s="17">
      <c r="B18" s="22" t="inlineStr">
        <is>
          <t>Section</t>
        </is>
      </c>
      <c r="C18" s="22" t="inlineStr">
        <is>
          <t>Description</t>
        </is>
      </c>
      <c r="D18" s="22" t="inlineStr">
        <is>
          <t>Count</t>
        </is>
      </c>
    </row>
    <row r="19" ht="15" customHeight="1" s="17">
      <c r="B19" s="23" t="inlineStr">
        <is>
          <t>Scholarship / Fellowship</t>
        </is>
      </c>
      <c r="C19" s="24" t="inlineStr">
        <is>
          <t>Government, trust and CSR scholarships and fellowships covered in this window.</t>
        </is>
      </c>
      <c r="D19" s="25">
        <f>COUNTIF(Log!B2:B300,"Scholarship / Fellowship")</f>
        <v/>
      </c>
    </row>
    <row r="20" ht="15" customHeight="1" s="17">
      <c r="B20" s="23" t="inlineStr">
        <is>
          <t>Internship</t>
        </is>
      </c>
      <c r="C20" s="24" t="inlineStr">
        <is>
          <t>Internship programmes covered in this window.</t>
        </is>
      </c>
      <c r="D20" s="25">
        <f>COUNTIF(Log!B2:B300,"Internship")</f>
        <v/>
      </c>
    </row>
    <row r="21" ht="15" customHeight="1" s="17">
      <c r="B21" s="23" t="inlineStr">
        <is>
          <t>Admission / Entrance Exam</t>
        </is>
      </c>
      <c r="C21" s="24" t="inlineStr">
        <is>
          <t>University/institute admissions and entrance exam notifications (CUET, GATE, CAT, CLAT, EAPCET etc.).</t>
        </is>
      </c>
      <c r="D21" s="25">
        <f>COUNTIF(Log!B2:B300,"Admission / Entrance Exam")</f>
        <v/>
      </c>
    </row>
    <row r="22"/>
    <row r="23" ht="15" customHeight="1" s="17">
      <c r="B23" s="26" t="inlineStr">
        <is>
          <t>Total entries</t>
        </is>
      </c>
      <c r="D23" s="27">
        <f>COUNTA(Log!A2:A300)</f>
        <v/>
      </c>
    </row>
  </sheetData>
  <mergeCells count="4">
    <mergeCell ref="B11:D12"/>
    <mergeCell ref="B9:D10"/>
    <mergeCell ref="B7:D8"/>
    <mergeCell ref="B13:D1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Q30"/>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59765625" defaultRowHeight="15" zeroHeight="0" outlineLevelRow="0"/>
  <cols>
    <col width="5" customWidth="1" style="16" min="1" max="1"/>
    <col width="17" customWidth="1" style="16" min="2" max="2"/>
    <col width="40" customWidth="1" style="16" min="3" max="3"/>
    <col width="30" customWidth="1" style="16" min="4" max="4"/>
    <col width="38" customWidth="1" style="16" min="5" max="5"/>
    <col width="20" customWidth="1" style="16" min="6" max="6"/>
    <col width="10" customWidth="1" style="16" min="7" max="7"/>
    <col width="16" customWidth="1" style="16" min="8" max="8"/>
    <col width="12" customWidth="1" style="16" min="9" max="9"/>
    <col width="18" customWidth="1" style="16" min="10" max="10"/>
    <col width="26" customWidth="1" style="16" min="11" max="12"/>
    <col width="12" customWidth="1" style="16" min="13" max="13"/>
    <col width="13" customWidth="1" style="16" min="14" max="14"/>
    <col width="30" customWidth="1" style="16" min="15" max="15"/>
    <col width="34" customWidth="1" style="16" min="16" max="16"/>
    <col width="38" customWidth="1" style="16" min="17" max="17"/>
  </cols>
  <sheetData>
    <row r="1" ht="15" customHeight="1" s="17">
      <c r="A1" s="28" t="inlineStr">
        <is>
          <t>S.No</t>
        </is>
      </c>
      <c r="B1" s="28" t="inlineStr">
        <is>
          <t>Type</t>
        </is>
      </c>
      <c r="C1" s="28" t="inlineStr">
        <is>
          <t>Name</t>
        </is>
      </c>
      <c r="D1" s="28" t="inlineStr">
        <is>
          <t>Organiser</t>
        </is>
      </c>
      <c r="E1" s="28" t="inlineStr">
        <is>
          <t>For (Education Background)</t>
        </is>
      </c>
      <c r="F1" s="28" t="inlineStr">
        <is>
          <t>Caste / Community</t>
        </is>
      </c>
      <c r="G1" s="28" t="inlineStr">
        <is>
          <t>Gender</t>
        </is>
      </c>
      <c r="H1" s="28" t="inlineStr">
        <is>
          <t>Income Limit</t>
        </is>
      </c>
      <c r="I1" s="28" t="inlineStr">
        <is>
          <t>Age Limit</t>
        </is>
      </c>
      <c r="J1" s="28" t="inlineStr">
        <is>
          <t>Cycle</t>
        </is>
      </c>
      <c r="K1" s="28" t="inlineStr">
        <is>
          <t>Award / Stipend / Fees</t>
        </is>
      </c>
      <c r="L1" s="28" t="inlineStr">
        <is>
          <t>Deadline / Window</t>
        </is>
      </c>
      <c r="M1" s="28" t="inlineStr">
        <is>
          <t>Status</t>
        </is>
      </c>
      <c r="N1" s="28" t="inlineStr">
        <is>
          <t>Coverage Month</t>
        </is>
      </c>
      <c r="O1" s="28" t="inlineStr">
        <is>
          <t>Official Website</t>
        </is>
      </c>
      <c r="P1" s="28" t="inlineStr">
        <is>
          <t>Source(s)</t>
        </is>
      </c>
      <c r="Q1" s="28" t="inlineStr">
        <is>
          <t>Notes</t>
        </is>
      </c>
    </row>
    <row r="2" ht="15" customHeight="1" s="17">
      <c r="A2" s="16" t="n">
        <v>1</v>
      </c>
      <c r="B2" s="16" t="inlineStr">
        <is>
          <t>Scholarship / Fellowship</t>
        </is>
      </c>
      <c r="C2" s="16" t="inlineStr">
        <is>
          <t>National Scholarship Portal (NSP) Fresh and Renewal Applications 2025-26</t>
        </is>
      </c>
      <c r="D2" s="16" t="inlineStr">
        <is>
          <t>Government of India ministries via NSP (Social Justice and Empowerment, Minority Affairs, Tribal Affairs)</t>
        </is>
      </c>
      <c r="E2" s="16" t="inlineStr">
        <is>
          <t>Pre-matric to postgraduate; school, college and university students</t>
        </is>
      </c>
      <c r="F2" s="16" t="inlineStr">
        <is>
          <t>Open; many schemes earmarked for SC, ST, OBC, EBC, DNT and minority students</t>
        </is>
      </c>
      <c r="G2" s="16" t="inlineStr">
        <is>
          <t>All</t>
        </is>
      </c>
      <c r="H2" s="16" t="inlineStr">
        <is>
          <t>Varies by scheme (roughly Rs 2 lakh to Rs 8 lakh family income depending on scheme)</t>
        </is>
      </c>
      <c r="I2" s="16" t="inlineStr"/>
      <c r="J2" s="16" t="inlineStr">
        <is>
          <t>Annual; Academic Year 2025-26</t>
        </is>
      </c>
      <c r="K2" s="16" t="inlineStr">
        <is>
          <t>Varies by scheme; maintenance allowance and tuition support paid via DBT</t>
        </is>
      </c>
      <c r="L2" s="16" t="inlineStr">
        <is>
          <t>Portal opened 02-06-2025; most schemes closed 31-10-2025; extended to 15-11-2025 for post-matric and top class central sector schemes</t>
        </is>
      </c>
      <c r="M2" s="16" t="inlineStr">
        <is>
          <t>Closed</t>
        </is>
      </c>
      <c r="N2" s="16" t="inlineStr">
        <is>
          <t>2025-06;2025-07</t>
        </is>
      </c>
      <c r="O2" s="16" t="inlineStr">
        <is>
          <t>https://scholarships.gov.in</t>
        </is>
      </c>
      <c r="P2" s="16" t="inlineStr">
        <is>
          <t>https://stageweb.iist.ac.in/sites/default/files/2025-10/Letter%20to%20265%20institutions%20regarding%20NSP%20portal%20opening%20for%20the%20Year%202025-26.pdf</t>
        </is>
      </c>
      <c r="Q2" s="16" t="inlineStr">
        <is>
          <t>Dates verified from official NSP timeline letter; appearance in a specific PD issue not directly sighted, PD routinely lists NSP deadlines in its monthly career guidance sections</t>
        </is>
      </c>
    </row>
    <row r="3" ht="15" customHeight="1" s="17">
      <c r="A3" s="16" t="n">
        <v>2</v>
      </c>
      <c r="B3" s="16" t="inlineStr">
        <is>
          <t>Scholarship / Fellowship</t>
        </is>
      </c>
      <c r="C3" s="16" t="inlineStr">
        <is>
          <t>PM YASASVI Central Sector Scheme of Top Class Education in Schools for OBC, EBC and DNT Students 2025-26</t>
        </is>
      </c>
      <c r="D3" s="16" t="inlineStr">
        <is>
          <t>Ministry of Social Justice and Empowerment, Government of India</t>
        </is>
      </c>
      <c r="E3" s="16" t="inlineStr">
        <is>
          <t>Class 9 to Class 12 in notified Top Class Schools</t>
        </is>
      </c>
      <c r="F3" s="16" t="inlineStr">
        <is>
          <t>OBC, EBC and DNT students</t>
        </is>
      </c>
      <c r="G3" s="16" t="inlineStr">
        <is>
          <t>All; at least 30 per cent of slots reserved for girls</t>
        </is>
      </c>
      <c r="H3" s="16" t="inlineStr">
        <is>
          <t>Family income up to Rs 2.5 lakh per annum</t>
        </is>
      </c>
      <c r="I3" s="16" t="inlineStr"/>
      <c r="J3" s="16" t="inlineStr">
        <is>
          <t>Annual; Academic Year 2025-26</t>
        </is>
      </c>
      <c r="K3" s="16" t="inlineStr">
        <is>
          <t>Rs 75,000 per year for Classes 9-10; Rs 1,25,000 per year for Classes 11-12</t>
        </is>
      </c>
      <c r="L3" s="16" t="inlineStr">
        <is>
          <t>Applications 02-06-2025 to 31-08-2025 via NSP; merit based with no entrance test in 2025</t>
        </is>
      </c>
      <c r="M3" s="16" t="inlineStr">
        <is>
          <t>Closed</t>
        </is>
      </c>
      <c r="N3" s="16" t="inlineStr">
        <is>
          <t>2025-06</t>
        </is>
      </c>
      <c r="O3" s="16" t="inlineStr">
        <is>
          <t>https://scholarships.gov.in</t>
        </is>
      </c>
      <c r="P3" s="16" t="inlineStr">
        <is>
          <t>https://www.aubsp.com/pm-yasasvi-scholarship/</t>
        </is>
      </c>
      <c r="Q3" s="16" t="inlineStr">
        <is>
          <t>Scheme details verified from official scheme guidelines and coverage; specific PD issue not directly sighted, item falls within the magazine's standard scholarship coverage</t>
        </is>
      </c>
    </row>
    <row r="4" ht="15" customHeight="1" s="17">
      <c r="A4" s="16" t="n">
        <v>3</v>
      </c>
      <c r="B4" s="16" t="inlineStr">
        <is>
          <t>Scholarship / Fellowship</t>
        </is>
      </c>
      <c r="C4" s="16" t="inlineStr">
        <is>
          <t>INSPIRE Faculty Fellowship Call 2025</t>
        </is>
      </c>
      <c r="D4" s="16" t="inlineStr">
        <is>
          <t>Department of Science and Technology (DST), Government of India</t>
        </is>
      </c>
      <c r="E4" s="16" t="inlineStr">
        <is>
          <t>Early-career researchers with PhD; postdoctoral fellowship at Indian host institutions</t>
        </is>
      </c>
      <c r="F4" s="16" t="inlineStr">
        <is>
          <t>Open to all</t>
        </is>
      </c>
      <c r="G4" s="16" t="inlineStr">
        <is>
          <t>All</t>
        </is>
      </c>
      <c r="H4" s="16" t="inlineStr"/>
      <c r="I4" s="16" t="inlineStr">
        <is>
          <t>As per DST call norms</t>
        </is>
      </c>
      <c r="J4" s="16" t="inlineStr">
        <is>
          <t>Annual call</t>
        </is>
      </c>
      <c r="K4" s="16" t="inlineStr">
        <is>
          <t>Research fellowship and grant as per DST norms</t>
        </is>
      </c>
      <c r="L4" s="16" t="inlineStr">
        <is>
          <t>Call open 15-08-2025 to 14-09-2025</t>
        </is>
      </c>
      <c r="M4" s="16" t="inlineStr">
        <is>
          <t>Closed</t>
        </is>
      </c>
      <c r="N4" s="16" t="inlineStr">
        <is>
          <t>2025-08</t>
        </is>
      </c>
      <c r="O4" s="16" t="inlineStr">
        <is>
          <t>https://www.online-inspire.gov.in</t>
        </is>
      </c>
      <c r="P4" s="16" t="inlineStr">
        <is>
          <t>https://www.online-inspire.gov.in/</t>
        </is>
      </c>
      <c r="Q4" s="16" t="inlineStr">
        <is>
          <t>Window verified from the official INSPIRE portal homepage; PD issue appearance inferred from the magazine's routine research-fellowship coverage</t>
        </is>
      </c>
    </row>
    <row r="5" ht="15" customHeight="1" s="17">
      <c r="A5" s="16" t="n">
        <v>4</v>
      </c>
      <c r="B5" s="16" t="inlineStr">
        <is>
          <t>Scholarship / Fellowship</t>
        </is>
      </c>
      <c r="C5" s="16" t="inlineStr">
        <is>
          <t>INSPIRE Scholarship for Higher Education (SHE) 2025 call</t>
        </is>
      </c>
      <c r="D5" s="16" t="inlineStr">
        <is>
          <t>Department of Science and Technology (DST), Government of India</t>
        </is>
      </c>
      <c r="E5" s="16" t="inlineStr">
        <is>
          <t>BSc, BS, Integrated MSc and MS in basic and natural sciences for top Class 12 performers</t>
        </is>
      </c>
      <c r="F5" s="16" t="inlineStr">
        <is>
          <t>Open to all</t>
        </is>
      </c>
      <c r="G5" s="16" t="inlineStr">
        <is>
          <t>All</t>
        </is>
      </c>
      <c r="H5" s="16" t="inlineStr"/>
      <c r="I5" s="16" t="inlineStr">
        <is>
          <t>17 to 22 years per scheme norms</t>
        </is>
      </c>
      <c r="J5" s="16" t="inlineStr">
        <is>
          <t>Annual (2025 call)</t>
        </is>
      </c>
      <c r="K5" s="16" t="inlineStr">
        <is>
          <t>12,000 scholarships worth Rs 80,000 per year (Rs 5,000 per month plus Rs 20,000 summer mentorship grant)</t>
        </is>
      </c>
      <c r="L5" s="16" t="inlineStr">
        <is>
          <t>2025 call NOT issued; DST clarified in July 2026 the scheme is being redesigned with no timeline announced</t>
        </is>
      </c>
      <c r="M5" s="16" t="inlineStr">
        <is>
          <t>Dates TBA</t>
        </is>
      </c>
      <c r="N5" s="16" t="inlineStr">
        <is>
          <t>2026-07</t>
        </is>
      </c>
      <c r="O5" s="16" t="inlineStr">
        <is>
          <t>https://www.online-inspire.gov.in</t>
        </is>
      </c>
      <c r="P5" s="16" t="inlineStr">
        <is>
          <t>https://news.careers360.com/dst-clarifies-inspire-she-scholarship-not-scrapped-scheme-redesign-delay-2025-notification</t>
        </is>
      </c>
      <c r="Q5" s="16" t="inlineStr">
        <is>
          <t>No 2025 notification was released; delay and redesign widely covered by career media in the window; included as a well-known PD-type item, not directly sighted in a PD issue</t>
        </is>
      </c>
    </row>
    <row r="6" ht="15" customHeight="1" s="17">
      <c r="A6" s="16" t="n">
        <v>5</v>
      </c>
      <c r="B6" s="16" t="inlineStr">
        <is>
          <t>Scholarship / Fellowship</t>
        </is>
      </c>
      <c r="C6" s="16" t="inlineStr">
        <is>
          <t>National Scholarship Portal 2026-27 cycle including PM YASASVI schemes (renewal and fresh)</t>
        </is>
      </c>
      <c r="D6" s="16" t="inlineStr">
        <is>
          <t>Government of India ministries via NSP (Social Justice and Empowerment and others)</t>
        </is>
      </c>
      <c r="E6" s="16" t="inlineStr">
        <is>
          <t>Pre-matric to postgraduate; school and college students</t>
        </is>
      </c>
      <c r="F6" s="16" t="inlineStr">
        <is>
          <t>Open; PM YASASVI schemes for OBC, EBC and DNT students</t>
        </is>
      </c>
      <c r="G6" s="16" t="inlineStr">
        <is>
          <t>All; 30 per cent of YASASVI slots reserved for girls</t>
        </is>
      </c>
      <c r="H6" s="16" t="inlineStr">
        <is>
          <t>Varies by scheme</t>
        </is>
      </c>
      <c r="I6" s="16" t="inlineStr"/>
      <c r="J6" s="16" t="inlineStr">
        <is>
          <t>Annual; Academic Year 2026-27</t>
        </is>
      </c>
      <c r="K6" s="16" t="inlineStr">
        <is>
          <t>Varies by scheme (YASASVI up to Rs 75,000 to Rs 1,25,000 per year)</t>
        </is>
      </c>
      <c r="L6" s="16" t="inlineStr">
        <is>
          <t>Portal opened 01-06-2026; renewal applications for school scheme open till 30-09-2026; college scheme fresh till 31-10-2026</t>
        </is>
      </c>
      <c r="M6" s="16" t="inlineStr">
        <is>
          <t>Open now</t>
        </is>
      </c>
      <c r="N6" s="16" t="inlineStr">
        <is>
          <t>2026-06</t>
        </is>
      </c>
      <c r="O6" s="16" t="inlineStr">
        <is>
          <t>https://scholarships.gov.in</t>
        </is>
      </c>
      <c r="P6" s="16" t="inlineStr">
        <is>
          <t>https://scholarships.gov.in/All-Scholarships</t>
        </is>
      </c>
      <c r="Q6" s="16" t="inlineStr">
        <is>
          <t>Live dates taken from the official NSP schemes page in September 2026; PD issue appearance inferred from the magazine's standard NSP coverage</t>
        </is>
      </c>
    </row>
    <row r="7" ht="15" customHeight="1" s="17">
      <c r="A7" s="16" t="n">
        <v>6</v>
      </c>
      <c r="B7" s="16" t="inlineStr">
        <is>
          <t>Scholarship / Fellowship</t>
        </is>
      </c>
      <c r="C7" s="16" t="inlineStr">
        <is>
          <t>Scholarship initiative with six international universities launching India campuses (Rs 1,000 crore programme)</t>
        </is>
      </c>
      <c r="D7" s="16" t="inlineStr">
        <is>
          <t>University of Aberdeen, University of Bristol, Illinois Institute of Technology, University of Liverpool, Victoria University, University of York</t>
        </is>
      </c>
      <c r="E7" s="16" t="inlineStr">
        <is>
          <t>Undergraduate and postgraduate programmes with focus on AI and STEM</t>
        </is>
      </c>
      <c r="F7" s="16" t="inlineStr">
        <is>
          <t>Open to all</t>
        </is>
      </c>
      <c r="G7" s="16" t="inlineStr">
        <is>
          <t>All</t>
        </is>
      </c>
      <c r="H7" s="16" t="inlineStr"/>
      <c r="I7" s="16" t="inlineStr"/>
      <c r="J7" s="16" t="inlineStr">
        <is>
          <t>One-time announcement (April 2026)</t>
        </is>
      </c>
      <c r="K7" s="16" t="inlineStr">
        <is>
          <t>Tuition waivers from 10 to 100 per cent for UG and PG students; fees expected 30 to 40 per cent lower than studying abroad</t>
        </is>
      </c>
      <c r="L7" s="16" t="inlineStr">
        <is>
          <t>Proposed intake Aug to Sep 2026</t>
        </is>
      </c>
      <c r="M7" s="16" t="inlineStr">
        <is>
          <t>Dates TBA</t>
        </is>
      </c>
      <c r="N7" s="16" t="inlineStr">
        <is>
          <t>2026-04</t>
        </is>
      </c>
      <c r="O7" s="16" t="inlineStr">
        <is>
          <t>https://www.pdgroup.in</t>
        </is>
      </c>
      <c r="P7" s="16" t="inlineStr">
        <is>
          <t>https://www.linkedin.com/posts/pratiyogita-darpan-official_highereducation-globaleducation-ai-activity-7450528369617584128-PVj0</t>
        </is>
      </c>
      <c r="Q7" s="16" t="inlineStr">
        <is>
          <t>Covered directly by Pratiyogita Darpan's official LinkedIn channel in April 2026; this is direct PD online coverage rather than a print issue sighting</t>
        </is>
      </c>
    </row>
    <row r="8" ht="15" customHeight="1" s="17">
      <c r="A8" s="16" t="n">
        <v>7</v>
      </c>
      <c r="B8" s="16" t="inlineStr">
        <is>
          <t>Internship</t>
        </is>
      </c>
      <c r="C8" s="16" t="inlineStr">
        <is>
          <t>Prime Minister Internship Scheme (PMIS) Pilot Round 2</t>
        </is>
      </c>
      <c r="D8" s="16" t="inlineStr">
        <is>
          <t>Ministry of Corporate Affairs, Government of India</t>
        </is>
      </c>
      <c r="E8" s="16" t="inlineStr">
        <is>
          <t>Youth not in full-time education or employment (Class 10 pass to graduates)</t>
        </is>
      </c>
      <c r="F8" s="16" t="inlineStr">
        <is>
          <t>Open to all</t>
        </is>
      </c>
      <c r="G8" s="16" t="inlineStr">
        <is>
          <t>All</t>
        </is>
      </c>
      <c r="H8" s="16" t="inlineStr">
        <is>
          <t>Not stated in cited sources; scheme norms apply</t>
        </is>
      </c>
      <c r="I8" s="16" t="inlineStr">
        <is>
          <t>21 to 24 years</t>
        </is>
      </c>
      <c r="J8" s="16" t="inlineStr">
        <is>
          <t>Pilot Round 2 of PMIS (Jan to Apr 2025)</t>
        </is>
      </c>
      <c r="K8" s="16" t="inlineStr">
        <is>
          <t>Rs 5,000 per month for 12 months plus one-time Rs 6,000 grant; no application fee; 1.18 lakh-plus internships across 735 districts</t>
        </is>
      </c>
      <c r="L8" s="16" t="inlineStr">
        <is>
          <t>Applications ran through Round 2; deadline extended from 31-03-2025 to 15-04-2025</t>
        </is>
      </c>
      <c r="M8" s="16" t="inlineStr">
        <is>
          <t>Closed</t>
        </is>
      </c>
      <c r="N8" s="16" t="inlineStr">
        <is>
          <t>2025-04</t>
        </is>
      </c>
      <c r="O8" s="16" t="inlineStr">
        <is>
          <t>https://pminternship.mca.gov.in</t>
        </is>
      </c>
      <c r="P8" s="16" t="inlineStr">
        <is>
          <t>https://economictimes.indiatimes.com/wealth/save/pm-internship-scheme-deadline-extended-apply-now-for-rs-5000-monthly-stipend-rs-6000-grant/articleshow/119898752.cms</t>
        </is>
      </c>
      <c r="Q8" s="16" t="inlineStr">
        <is>
          <t>Stipend, eligibility and extended deadline verified from ET coverage and PIB releases; specific PD issue not directly sighted, scheme was a major youth-opportunity story in the window</t>
        </is>
      </c>
    </row>
    <row r="9" ht="15" customHeight="1" s="17">
      <c r="A9" s="16" t="n">
        <v>8</v>
      </c>
      <c r="B9" s="16" t="inlineStr">
        <is>
          <t>Admission / Entrance Exam</t>
        </is>
      </c>
      <c r="C9" s="16" t="inlineStr">
        <is>
          <t>Common University Entrance Test (CUET UG) 2025</t>
        </is>
      </c>
      <c r="D9" s="16" t="inlineStr">
        <is>
          <t>National Testing Agency (NTA)</t>
        </is>
      </c>
      <c r="E9" s="16" t="inlineStr">
        <is>
          <t>Undergraduate programmes in central, state, deemed and private participating universities</t>
        </is>
      </c>
      <c r="F9" s="16" t="inlineStr">
        <is>
          <t>Open to all</t>
        </is>
      </c>
      <c r="G9" s="16" t="inlineStr">
        <is>
          <t>All</t>
        </is>
      </c>
      <c r="H9" s="16" t="inlineStr"/>
      <c r="I9" s="16" t="inlineStr"/>
      <c r="J9" s="16" t="inlineStr">
        <is>
          <t>Annual</t>
        </is>
      </c>
      <c r="K9" s="16" t="inlineStr">
        <is>
          <t>Application fee as per NTA bulletin</t>
        </is>
      </c>
      <c r="L9" s="16" t="inlineStr">
        <is>
          <t>Online applications 01-03-2025 to 22-03-2025; exam 08-05-2025 to 01-06-2025 in CBT mode</t>
        </is>
      </c>
      <c r="M9" s="16" t="inlineStr">
        <is>
          <t>Closed</t>
        </is>
      </c>
      <c r="N9" s="16" t="inlineStr">
        <is>
          <t>2025-04</t>
        </is>
      </c>
      <c r="O9" s="16" t="inlineStr">
        <is>
          <t>https://cuet.nta.nic.in</t>
        </is>
      </c>
      <c r="P9" s="16" t="inlineStr">
        <is>
          <t>https://www.hnbgu.ac.in/sites/default/files/2025-03/CUET%20%28UG%29%202025-2026%20Notification_0.pdf</t>
        </is>
      </c>
      <c r="Q9" s="16" t="inlineStr">
        <is>
          <t>Dates verified from the official NTA public notice; notification and exam dates fall squarely in PD's routine entrance-exam coverage, specific issue not directly sighted</t>
        </is>
      </c>
    </row>
    <row r="10" ht="15" customHeight="1" s="17">
      <c r="A10" s="16" t="n">
        <v>9</v>
      </c>
      <c r="B10" s="16" t="inlineStr">
        <is>
          <t>Admission / Entrance Exam</t>
        </is>
      </c>
      <c r="C10" s="16" t="inlineStr">
        <is>
          <t>UGC NET June 2025</t>
        </is>
      </c>
      <c r="D10" s="16" t="inlineStr">
        <is>
          <t>National Testing Agency on behalf of University Grants Commission</t>
        </is>
      </c>
      <c r="E10" s="16" t="inlineStr">
        <is>
          <t>Junior Research Fellowship, Assistant Professor eligibility and PhD admission</t>
        </is>
      </c>
      <c r="F10" s="16" t="inlineStr">
        <is>
          <t>Open to all</t>
        </is>
      </c>
      <c r="G10" s="16" t="inlineStr">
        <is>
          <t>All</t>
        </is>
      </c>
      <c r="H10" s="16" t="inlineStr"/>
      <c r="I10" s="16" t="inlineStr"/>
      <c r="J10" s="16" t="inlineStr">
        <is>
          <t>Twice yearly (June cycle 2025)</t>
        </is>
      </c>
      <c r="K10" s="16" t="inlineStr">
        <is>
          <t>Fee Rs 1,150 general; Rs 600 Gen-EWS and OBC-NCL; Rs 325 SC, ST, PwD and third gender</t>
        </is>
      </c>
      <c r="L10" s="16" t="inlineStr">
        <is>
          <t>Applications 16-04-2025 to 12-05-2025 (extended from 07-05-2025); exam 25-06-2025 to 29-06-2025</t>
        </is>
      </c>
      <c r="M10" s="16" t="inlineStr">
        <is>
          <t>Closed</t>
        </is>
      </c>
      <c r="N10" s="16" t="inlineStr">
        <is>
          <t>2025-05</t>
        </is>
      </c>
      <c r="O10" s="16" t="inlineStr">
        <is>
          <t>https://ugcnet.nta.ac.in</t>
        </is>
      </c>
      <c r="P10" s="16" t="inlineStr">
        <is>
          <t>https://ugcnet.nta.ac.in/images/public-notice-for-extension-of-dates-for-ugc-net-june-2025.pdf</t>
        </is>
      </c>
      <c r="Q10" s="16" t="inlineStr">
        <is>
          <t>Dates and fee verified from the official NTA bulletin and extension notice; PD issue appearance inferred from standard coverage</t>
        </is>
      </c>
    </row>
    <row r="11" ht="15" customHeight="1" s="17">
      <c r="A11" s="16" t="n">
        <v>10</v>
      </c>
      <c r="B11" s="16" t="inlineStr">
        <is>
          <t>Admission / Entrance Exam</t>
        </is>
      </c>
      <c r="C11" s="16" t="inlineStr">
        <is>
          <t>Xavier Aptitude Test (XAT) 2026</t>
        </is>
      </c>
      <c r="D11" s="16" t="inlineStr">
        <is>
          <t>XLRI Jamshedpur on behalf of XAMI</t>
        </is>
      </c>
      <c r="E11" s="16" t="inlineStr">
        <is>
          <t>MBA and PGDM at XLRI and 250-plus associated institutes</t>
        </is>
      </c>
      <c r="F11" s="16" t="inlineStr">
        <is>
          <t>Open to all</t>
        </is>
      </c>
      <c r="G11" s="16" t="inlineStr">
        <is>
          <t>All</t>
        </is>
      </c>
      <c r="H11" s="16" t="inlineStr"/>
      <c r="I11" s="16" t="inlineStr"/>
      <c r="J11" s="16" t="inlineStr">
        <is>
          <t>Annual</t>
        </is>
      </c>
      <c r="K11" s="16" t="inlineStr">
        <is>
          <t>Registration fee Rs 2,200</t>
        </is>
      </c>
      <c r="L11" s="16" t="inlineStr">
        <is>
          <t>Registration 10-07-2025 to 05-12-2025 (extended to 11-12-2025); exam 04-01-2026, 2 pm to 5 pm, single shift CBT</t>
        </is>
      </c>
      <c r="M11" s="16" t="inlineStr">
        <is>
          <t>Closed</t>
        </is>
      </c>
      <c r="N11" s="16" t="inlineStr">
        <is>
          <t>2025-07</t>
        </is>
      </c>
      <c r="O11" s="16" t="inlineStr">
        <is>
          <t>https://xatonline.in</t>
        </is>
      </c>
      <c r="P11" s="16" t="inlineStr">
        <is>
          <t>https://news.careers360.com/xat-2026-registration-begins-at-xatonline-in-apply-december-5-exam-fee</t>
        </is>
      </c>
      <c r="Q11" s="16" t="inlineStr">
        <is>
          <t>Dates verified from the XAT 2026 bulletin and news coverage; PD issue appearance inferred from the magazine's routine MBA-exam coverage</t>
        </is>
      </c>
    </row>
    <row r="12" ht="15" customHeight="1" s="17">
      <c r="A12" s="16" t="n">
        <v>11</v>
      </c>
      <c r="B12" s="16" t="inlineStr">
        <is>
          <t>Admission / Entrance Exam</t>
        </is>
      </c>
      <c r="C12" s="16" t="inlineStr">
        <is>
          <t>Common Law Admission Test (CLAT) 2026</t>
        </is>
      </c>
      <c r="D12" s="16" t="inlineStr">
        <is>
          <t>Consortium of National Law Universities</t>
        </is>
      </c>
      <c r="E12" s="16" t="inlineStr">
        <is>
          <t>Five-year integrated LLB and one-year LLM at NLUs</t>
        </is>
      </c>
      <c r="F12" s="16" t="inlineStr">
        <is>
          <t>Open to all</t>
        </is>
      </c>
      <c r="G12" s="16" t="inlineStr">
        <is>
          <t>All</t>
        </is>
      </c>
      <c r="H12" s="16" t="inlineStr"/>
      <c r="I12" s="16" t="inlineStr"/>
      <c r="J12" s="16" t="inlineStr">
        <is>
          <t>Annual</t>
        </is>
      </c>
      <c r="K12" s="16" t="inlineStr">
        <is>
          <t>Application fee as per Consortium schedule</t>
        </is>
      </c>
      <c r="L12" s="16" t="inlineStr">
        <is>
          <t>Applications 01-08-2025 to 31-10-2025 (extended to 07-11-2025); exam 07-12-2025, 2 pm to 4 pm</t>
        </is>
      </c>
      <c r="M12" s="16" t="inlineStr">
        <is>
          <t>Closed</t>
        </is>
      </c>
      <c r="N12" s="16" t="inlineStr">
        <is>
          <t>2025-08</t>
        </is>
      </c>
      <c r="O12" s="16" t="inlineStr">
        <is>
          <t>https://consortiumofnlus.ac.in</t>
        </is>
      </c>
      <c r="P12" s="16" t="inlineStr">
        <is>
          <t>https://consortiumofnlus.ac.in/clat-2026/notifications/clat-2026-press-release.pdf</t>
        </is>
      </c>
      <c r="Q12" s="16" t="inlineStr">
        <is>
          <t>Dates verified from official Consortium press release and extension notification; PD issue appearance inferred from standard law-exam coverage</t>
        </is>
      </c>
    </row>
    <row r="13" ht="15" customHeight="1" s="17">
      <c r="A13" s="16" t="n">
        <v>12</v>
      </c>
      <c r="B13" s="16" t="inlineStr">
        <is>
          <t>Admission / Entrance Exam</t>
        </is>
      </c>
      <c r="C13" s="16" t="inlineStr">
        <is>
          <t>Common Admission Test (CAT) 2025</t>
        </is>
      </c>
      <c r="D13" s="16" t="inlineStr">
        <is>
          <t>Indian Institute of Management Kozhikode</t>
        </is>
      </c>
      <c r="E13" s="16" t="inlineStr">
        <is>
          <t>MBA and postgraduate management programmes at IIMs and leading B-schools</t>
        </is>
      </c>
      <c r="F13" s="16" t="inlineStr">
        <is>
          <t>Open to all</t>
        </is>
      </c>
      <c r="G13" s="16" t="inlineStr">
        <is>
          <t>All</t>
        </is>
      </c>
      <c r="H13" s="16" t="inlineStr"/>
      <c r="I13" s="16" t="inlineStr"/>
      <c r="J13" s="16" t="inlineStr">
        <is>
          <t>Annual</t>
        </is>
      </c>
      <c r="K13" s="16" t="inlineStr">
        <is>
          <t>Registration fee Rs 2,600 (General, EWS, NC-OBC); Rs 1,300 (SC, ST, PwD)</t>
        </is>
      </c>
      <c r="L13" s="16" t="inlineStr">
        <is>
          <t>Registration 01-08-2025 to 20-09-2025 (extended from 13-09-2025); exam 30-11-2025 in three sessions</t>
        </is>
      </c>
      <c r="M13" s="16" t="inlineStr">
        <is>
          <t>Closed</t>
        </is>
      </c>
      <c r="N13" s="16" t="inlineStr">
        <is>
          <t>2025-08</t>
        </is>
      </c>
      <c r="O13" s="16" t="inlineStr">
        <is>
          <t>https://iimcat.ac.in</t>
        </is>
      </c>
      <c r="P13" s="16" t="inlineStr">
        <is>
          <t>https://indianexpress.com/article/education/cat-2025-application-last-date-iim-mba-iimcat-ac-in-extends-10243508/</t>
        </is>
      </c>
      <c r="Q13" s="16" t="inlineStr">
        <is>
          <t>Dates and fee verified from the IIM media release and news coverage; PD issue appearance inferred from standard MBA-exam coverage</t>
        </is>
      </c>
    </row>
    <row r="14" ht="15" customHeight="1" s="17">
      <c r="A14" s="16" t="n">
        <v>13</v>
      </c>
      <c r="B14" s="16" t="inlineStr">
        <is>
          <t>Admission / Entrance Exam</t>
        </is>
      </c>
      <c r="C14" s="16" t="inlineStr">
        <is>
          <t>Graduate Aptitude Test in Engineering (GATE) 2026</t>
        </is>
      </c>
      <c r="D14" s="16" t="inlineStr">
        <is>
          <t>IIT Guwahati on behalf of IISc and IITs (NCB, Ministry of Education)</t>
        </is>
      </c>
      <c r="E14" s="16" t="inlineStr">
        <is>
          <t>Master's, direct doctoral and doctoral admissions in Engineering, Science, Commerce, Arts and Humanities</t>
        </is>
      </c>
      <c r="F14" s="16" t="inlineStr">
        <is>
          <t>Open to all</t>
        </is>
      </c>
      <c r="G14" s="16" t="inlineStr">
        <is>
          <t>All</t>
        </is>
      </c>
      <c r="H14" s="16" t="inlineStr"/>
      <c r="I14" s="16" t="inlineStr">
        <is>
          <t>No age limit</t>
        </is>
      </c>
      <c r="J14" s="16" t="inlineStr">
        <is>
          <t>Annual</t>
        </is>
      </c>
      <c r="K14" s="16" t="inlineStr">
        <is>
          <t>Application fee per category (regular period 28-08-2025 to 25/28-09-2025; late fee window up to 13-10-2025)</t>
        </is>
      </c>
      <c r="L14" s="16" t="inlineStr">
        <is>
          <t>Applications 28-08-2025 to 07-10-2025; exams 07-02-2026, 08-02-2026, 14-02-2026 and 15-02-2026; results 19-03-2026</t>
        </is>
      </c>
      <c r="M14" s="16" t="inlineStr">
        <is>
          <t>Closed</t>
        </is>
      </c>
      <c r="N14" s="16" t="inlineStr">
        <is>
          <t>2025-09</t>
        </is>
      </c>
      <c r="O14" s="16" t="inlineStr">
        <is>
          <t>https://gate2026.iitg.ac.in</t>
        </is>
      </c>
      <c r="P14" s="16" t="inlineStr">
        <is>
          <t>https://gate2026.iitg.ac.in/important-dates.html</t>
        </is>
      </c>
      <c r="Q14" s="16" t="inlineStr">
        <is>
          <t>All dates verified from the official GATE 2026 important-dates page; PD issue appearance inferred from the magazine's routine GATE coverage</t>
        </is>
      </c>
    </row>
    <row r="15" ht="15" customHeight="1" s="17">
      <c r="A15" s="16" t="n">
        <v>14</v>
      </c>
      <c r="B15" s="16" t="inlineStr">
        <is>
          <t>Admission / Entrance Exam</t>
        </is>
      </c>
      <c r="C15" s="16" t="inlineStr">
        <is>
          <t>Joint Entrance Examination (JEE Main) 2026 Session 1</t>
        </is>
      </c>
      <c r="D15" s="16" t="inlineStr">
        <is>
          <t>National Testing Agency (NTA)</t>
        </is>
      </c>
      <c r="E15" s="16" t="inlineStr">
        <is>
          <t>BE, BTech, BArch and BPlanning at NITs, IIITs and CFTIs; qualifier for JEE Advanced</t>
        </is>
      </c>
      <c r="F15" s="16" t="inlineStr">
        <is>
          <t>Open to all</t>
        </is>
      </c>
      <c r="G15" s="16" t="inlineStr">
        <is>
          <t>All</t>
        </is>
      </c>
      <c r="H15" s="16" t="inlineStr"/>
      <c r="I15" s="16" t="inlineStr"/>
      <c r="J15" s="16" t="inlineStr">
        <is>
          <t>Twice yearly (Session 1 of 2026)</t>
        </is>
      </c>
      <c r="K15" s="16" t="inlineStr">
        <is>
          <t>Application fee per NTA schedule</t>
        </is>
      </c>
      <c r="L15" s="16" t="inlineStr">
        <is>
          <t>Applications 31-10-2025 to 27-11-2025; exam 21-01-2026 to 30-01-2026; Session 2 applications from last week of January 2026 with exam 01-10 April 2026</t>
        </is>
      </c>
      <c r="M15" s="16" t="inlineStr">
        <is>
          <t>Closed</t>
        </is>
      </c>
      <c r="N15" s="16" t="inlineStr">
        <is>
          <t>2025-11</t>
        </is>
      </c>
      <c r="O15" s="16" t="inlineStr">
        <is>
          <t>https://jeemain.nta.nic.in</t>
        </is>
      </c>
      <c r="P15" s="16" t="inlineStr">
        <is>
          <t>https://timesofindia.indiatimes.com/education/news/jee-main-2026-session-1-registration-window-closes-today-check-direct-link-to-apply-and-key-details-here/articleshow/125603936.cms</t>
        </is>
      </c>
      <c r="Q15" s="16" t="inlineStr">
        <is>
          <t>Dates verified from NTA advisory and news coverage; PD issue appearance inferred from the magazine's routine JEE coverage</t>
        </is>
      </c>
    </row>
    <row r="16" ht="15" customHeight="1" s="17">
      <c r="A16" s="16" t="n">
        <v>15</v>
      </c>
      <c r="B16" s="16" t="inlineStr">
        <is>
          <t>Admission / Entrance Exam</t>
        </is>
      </c>
      <c r="C16" s="16" t="inlineStr">
        <is>
          <t>National Defence Academy and Naval Academy Examination (I) 2026</t>
        </is>
      </c>
      <c r="D16" s="16" t="inlineStr">
        <is>
          <t>Union Public Service Commission (UPSC)</t>
        </is>
      </c>
      <c r="E16" s="16" t="inlineStr">
        <is>
          <t>Admission to Army, Navy and Air Force wings of NDA (157th Course) and 119th Indian Naval Academy Course</t>
        </is>
      </c>
      <c r="F16" s="16" t="inlineStr">
        <is>
          <t>Open to all</t>
        </is>
      </c>
      <c r="G16" s="16" t="inlineStr">
        <is>
          <t>Unmarried male and female candidates</t>
        </is>
      </c>
      <c r="H16" s="16" t="inlineStr"/>
      <c r="I16" s="16" t="inlineStr">
        <is>
          <t>Born not earlier than 02-07-2007 and not later than 01-07-2010</t>
        </is>
      </c>
      <c r="J16" s="16" t="inlineStr">
        <is>
          <t>Twice yearly (I of 2026)</t>
        </is>
      </c>
      <c r="K16" s="16" t="inlineStr">
        <is>
          <t>Application fee per UPSC notification</t>
        </is>
      </c>
      <c r="L16" s="16" t="inlineStr">
        <is>
          <t>Notification 10-12-2025; applications 10-12-2025 to 30-12-2025; exam 12-04-2026</t>
        </is>
      </c>
      <c r="M16" s="16" t="inlineStr">
        <is>
          <t>Closed</t>
        </is>
      </c>
      <c r="N16" s="16" t="inlineStr">
        <is>
          <t>2025-12</t>
        </is>
      </c>
      <c r="O16" s="16" t="inlineStr">
        <is>
          <t>https://upsconline.nic.in</t>
        </is>
      </c>
      <c r="P16" s="16" t="inlineStr">
        <is>
          <t>https://www.upsc.gov.in/sites/default/files/Notif-NDA-NA-I-2026-Engl-101225.pdf</t>
        </is>
      </c>
      <c r="Q16" s="16" t="inlineStr">
        <is>
          <t>All details verified from the official UPSC notification; defence academy admissions are a PD staple, specific issue not directly sighted</t>
        </is>
      </c>
    </row>
    <row r="17" ht="15" customHeight="1" s="17">
      <c r="A17" s="16" t="n">
        <v>16</v>
      </c>
      <c r="B17" s="16" t="inlineStr">
        <is>
          <t>Admission / Entrance Exam</t>
        </is>
      </c>
      <c r="C17" s="16" t="inlineStr">
        <is>
          <t>Common University Entrance Test (CUET PG) 2026</t>
        </is>
      </c>
      <c r="D17" s="16" t="inlineStr">
        <is>
          <t>National Testing Agency (NTA)</t>
        </is>
      </c>
      <c r="E17" s="16" t="inlineStr">
        <is>
          <t>Postgraduate programmes in central and participating universities</t>
        </is>
      </c>
      <c r="F17" s="16" t="inlineStr">
        <is>
          <t>Open to all</t>
        </is>
      </c>
      <c r="G17" s="16" t="inlineStr">
        <is>
          <t>All</t>
        </is>
      </c>
      <c r="H17" s="16" t="inlineStr"/>
      <c r="I17" s="16" t="inlineStr"/>
      <c r="J17" s="16" t="inlineStr">
        <is>
          <t>Annual</t>
        </is>
      </c>
      <c r="K17" s="16" t="inlineStr">
        <is>
          <t>Fee varies by number of test papers (up to four); Rs 7,000 for centres outside India</t>
        </is>
      </c>
      <c r="L17" s="16" t="inlineStr">
        <is>
          <t>Applications 14-12-2025 to 14-01-2026 (extended to 20-01-2026); exam 06-03-2026 to 27-03-2026</t>
        </is>
      </c>
      <c r="M17" s="16" t="inlineStr">
        <is>
          <t>Closed</t>
        </is>
      </c>
      <c r="N17" s="16" t="inlineStr">
        <is>
          <t>2025-12</t>
        </is>
      </c>
      <c r="O17" s="16" t="inlineStr">
        <is>
          <t>https://exams.nta.nic.in/cuet-pg/</t>
        </is>
      </c>
      <c r="P17" s="16" t="inlineStr">
        <is>
          <t>https://cdnbbsr.s3waas.gov.in/s388a839f2f6f1427879fc33ee4acf4f66/uploads/2025/12/202512161583029269.pdf</t>
        </is>
      </c>
      <c r="Q17" s="16" t="inlineStr">
        <is>
          <t>Dates verified from the official NTA information bulletin; PD issue appearance inferred from standard coverage</t>
        </is>
      </c>
    </row>
    <row r="18" ht="15" customHeight="1" s="17">
      <c r="A18" s="16" t="n">
        <v>17</v>
      </c>
      <c r="B18" s="16" t="inlineStr">
        <is>
          <t>Admission / Entrance Exam</t>
        </is>
      </c>
      <c r="C18" s="16" t="inlineStr">
        <is>
          <t>Common University Entrance Test (CUET UG) 2026</t>
        </is>
      </c>
      <c r="D18" s="16" t="inlineStr">
        <is>
          <t>National Testing Agency (NTA)</t>
        </is>
      </c>
      <c r="E18" s="16" t="inlineStr">
        <is>
          <t>Undergraduate programmes in central, state, deemed and private participating universities</t>
        </is>
      </c>
      <c r="F18" s="16" t="inlineStr">
        <is>
          <t>Open to all</t>
        </is>
      </c>
      <c r="G18" s="16" t="inlineStr">
        <is>
          <t>All</t>
        </is>
      </c>
      <c r="H18" s="16" t="inlineStr"/>
      <c r="I18" s="16" t="inlineStr"/>
      <c r="J18" s="16" t="inlineStr">
        <is>
          <t>Annual</t>
        </is>
      </c>
      <c r="K18" s="16" t="inlineStr">
        <is>
          <t>Application fee as per NTA bulletin</t>
        </is>
      </c>
      <c r="L18" s="16" t="inlineStr">
        <is>
          <t>Applications 03-01-2026 to 30-01-2026 (extended to 04-02-2026; reopened 23-02-2026 to 26-02-2026); exam 11-05-2026 to 31-05-2026 in CBT mode</t>
        </is>
      </c>
      <c r="M18" s="16" t="inlineStr">
        <is>
          <t>Closed</t>
        </is>
      </c>
      <c r="N18" s="16" t="inlineStr">
        <is>
          <t>2026-01</t>
        </is>
      </c>
      <c r="O18" s="16" t="inlineStr">
        <is>
          <t>https://cuet.nta.nic.in</t>
        </is>
      </c>
      <c r="P18" s="16" t="inlineStr">
        <is>
          <t>https://cutn.ac.in/wp-content/uploads/2026/01/CUET-UG-2026-Information-Bulletin_05012026.pdf</t>
        </is>
      </c>
      <c r="Q18" s="16" t="inlineStr">
        <is>
          <t>Dates verified from the official CUET UG 2026 information bulletin; PD issue appearance inferred from standard coverage</t>
        </is>
      </c>
    </row>
    <row r="19" ht="15" customHeight="1" s="17">
      <c r="A19" s="16" t="n">
        <v>18</v>
      </c>
      <c r="B19" s="16" t="inlineStr">
        <is>
          <t>Admission / Entrance Exam</t>
        </is>
      </c>
      <c r="C19" s="16" t="inlineStr">
        <is>
          <t>National Eligibility cum Entrance Test (NEET UG) 2026</t>
        </is>
      </c>
      <c r="D19" s="16" t="inlineStr">
        <is>
          <t>National Testing Agency (NTA)</t>
        </is>
      </c>
      <c r="E19" s="16" t="inlineStr">
        <is>
          <t>MBBS, BDS, AYUSH (BAMS, BUMS, BSMS, BHMS), BVSc and AH, and MNS BSc Nursing admission</t>
        </is>
      </c>
      <c r="F19" s="16" t="inlineStr">
        <is>
          <t>Open to all</t>
        </is>
      </c>
      <c r="G19" s="16" t="inlineStr">
        <is>
          <t>All</t>
        </is>
      </c>
      <c r="H19" s="16" t="inlineStr"/>
      <c r="I19" s="16" t="inlineStr"/>
      <c r="J19" s="16" t="inlineStr">
        <is>
          <t>Annual</t>
        </is>
      </c>
      <c r="K19" s="16" t="inlineStr">
        <is>
          <t>Fee per NTA bulletin (general category Rs 1,000 plus processing charges and GST as per notice)</t>
        </is>
      </c>
      <c r="L19" s="16" t="inlineStr">
        <is>
          <t>Applications 08-02-2026 to 08-03-2026 (extended to 11-03-2026); exam 03-05-2026, 2 pm to 5 pm</t>
        </is>
      </c>
      <c r="M19" s="16" t="inlineStr">
        <is>
          <t>Closed</t>
        </is>
      </c>
      <c r="N19" s="16" t="inlineStr">
        <is>
          <t>2026-02</t>
        </is>
      </c>
      <c r="O19" s="16" t="inlineStr">
        <is>
          <t>https://neet.nta.nic.in</t>
        </is>
      </c>
      <c r="P19" s="16" t="inlineStr">
        <is>
          <t>https://cdnbbsr.s3waas.gov.in/s37bc1ec1d9c3426357e69acd5bf320061/uploads/2026/02/20260208399987696.pdf</t>
        </is>
      </c>
      <c r="Q19" s="16" t="inlineStr">
        <is>
          <t>Dates verified from the official NTA public notice; PD issue appearance inferred from the magazine's routine medical-entrance coverage</t>
        </is>
      </c>
    </row>
    <row r="20" ht="15" customHeight="1" s="17">
      <c r="A20" s="16" t="n">
        <v>19</v>
      </c>
      <c r="B20" s="16" t="inlineStr">
        <is>
          <t>Admission / Entrance Exam</t>
        </is>
      </c>
      <c r="C20" s="16" t="inlineStr">
        <is>
          <t>National Defence Academy and Naval Academy Examination (II) 2026</t>
        </is>
      </c>
      <c r="D20" s="16" t="inlineStr">
        <is>
          <t>Union Public Service Commission (UPSC)</t>
        </is>
      </c>
      <c r="E20" s="16" t="inlineStr">
        <is>
          <t>Admission to Army, Navy and Air Force wings of NDA and Indian Naval Academy Course</t>
        </is>
      </c>
      <c r="F20" s="16" t="inlineStr">
        <is>
          <t>Open to all</t>
        </is>
      </c>
      <c r="G20" s="16" t="inlineStr">
        <is>
          <t>Unmarried male and female candidates</t>
        </is>
      </c>
      <c r="H20" s="16" t="inlineStr"/>
      <c r="I20" s="16" t="inlineStr">
        <is>
          <t>Per UPSC notification (born approx 2008-2011 as per NDA II 2026 norms)</t>
        </is>
      </c>
      <c r="J20" s="16" t="inlineStr">
        <is>
          <t>Twice yearly (II of 2026)</t>
        </is>
      </c>
      <c r="K20" s="16" t="inlineStr">
        <is>
          <t>Application fee per UPSC notification</t>
        </is>
      </c>
      <c r="L20" s="16" t="inlineStr">
        <is>
          <t>Notification 20-05-2026; applications till 11-06-2026 6 pm; exam 13-09-2026; provisional answer keys released 16-09-2026</t>
        </is>
      </c>
      <c r="M20" s="16" t="inlineStr">
        <is>
          <t>Closed</t>
        </is>
      </c>
      <c r="N20" s="16" t="inlineStr">
        <is>
          <t>2026-05</t>
        </is>
      </c>
      <c r="O20" s="16" t="inlineStr">
        <is>
          <t>https://upsconline.nic.in</t>
        </is>
      </c>
      <c r="P20" s="16" t="inlineStr">
        <is>
          <t>https://www.upsc.gov.in/examinations/National%20Defence%20Academy%20and%20Naval%20Academy%20Examination%20%28II%29%2C%202026</t>
        </is>
      </c>
      <c r="Q20" s="16" t="inlineStr">
        <is>
          <t>Key dates verified from the official UPSC examination page; note last date is 11-06-2026; PD issue appearance inferred from standard defence coverage</t>
        </is>
      </c>
    </row>
    <row r="21">
      <c r="A21" s="16" t="n">
        <v>20</v>
      </c>
      <c r="B21" s="16" t="inlineStr">
        <is>
          <t>Admission / Entrance Exam</t>
        </is>
      </c>
      <c r="C21" s="16" t="inlineStr">
        <is>
          <t>IIT Tirupati PhD admissions under the Visvesvaraya PhD Scheme 2026-27</t>
        </is>
      </c>
      <c r="D21" s="16" t="inlineStr">
        <is>
          <t>Indian Institute of Technology (IIT) Tirupati; scheme of the Ministry of Electronics and Information Technology (MeitY)</t>
        </is>
      </c>
      <c r="E21" s="16" t="inlineStr">
        <is>
          <t>Candidates for full-time PhD in Electronics System Design and Manufacturing (ESDM) and IT / IT-enabled Services</t>
        </is>
      </c>
      <c r="F21" s="16" t="inlineStr">
        <is>
          <t>Open to all</t>
        </is>
      </c>
      <c r="G21" s="16" t="inlineStr">
        <is>
          <t>All</t>
        </is>
      </c>
      <c r="H21" s="16" t="inlineStr">
        <is>
          <t>Not applicable</t>
        </is>
      </c>
      <c r="I21" s="16" t="inlineStr">
        <is>
          <t>As per scheme norms</t>
        </is>
      </c>
      <c r="J21" s="16" t="inlineStr">
        <is>
          <t>Annual (2026-27 admissions)</t>
        </is>
      </c>
      <c r="K21" s="16" t="inlineStr">
        <is>
          <t>Fellowship of Rs.38,750 per month in years 1-2 and Rs.43,750 per month in years 3-5, plus HRA reimbursement and contingency support</t>
        </is>
      </c>
      <c r="L21" s="16" t="inlineStr">
        <is>
          <t>Last date 23-10-2026</t>
        </is>
      </c>
      <c r="M21" s="16" t="inlineStr">
        <is>
          <t>Closed</t>
        </is>
      </c>
      <c r="N21" s="16" t="inlineStr">
        <is>
          <t>2026-10</t>
        </is>
      </c>
      <c r="O21" s="16" t="inlineStr">
        <is>
          <t>iittp.ac.in</t>
        </is>
      </c>
      <c r="P21" s="16" t="inlineStr">
        <is>
          <t>https://www.jagranjosh.com/news/iit-tirupati-invites-research-applications-under-visvesvaraya-phd-scheme-deadline-october-23-188464</t>
        </is>
      </c>
      <c r="Q21" s="16" t="inlineStr">
        <is>
          <t>IIT Tirupati invited PhD applications under the Visvesvaraya PhD Scheme 2026-27; last date 23 October 2026. Included as PD-type admission coverage; the specific PD issue placement was not directly verified.</t>
        </is>
      </c>
    </row>
    <row r="22">
      <c r="A22" s="16" t="n">
        <v>21</v>
      </c>
      <c r="B22" s="16" t="inlineStr">
        <is>
          <t>Admission / Entrance Exam</t>
        </is>
      </c>
      <c r="C22" s="16" t="inlineStr">
        <is>
          <t>Indian Army Technical Entry Scheme (TES-57) - 10+2 Technical Entry Scheme (July 2027 course)</t>
        </is>
      </c>
      <c r="D22" s="16" t="inlineStr">
        <is>
          <t>Indian Army (Directorate General of Recruiting), Ministry of Defence</t>
        </is>
      </c>
      <c r="E22" s="16" t="inlineStr">
        <is>
          <t>Class 12 (10+2) students with Physics, Chemistry and Mathematics (minimum 60% aggregate) who appeared in JEE (Main) 2026; unmarried male candidates</t>
        </is>
      </c>
      <c r="F22" s="16" t="inlineStr">
        <is>
          <t>All categories</t>
        </is>
      </c>
      <c r="G22" s="16" t="inlineStr">
        <is>
          <t>Unmarried male candidates</t>
        </is>
      </c>
      <c r="H22" s="16" t="inlineStr">
        <is>
          <t>Not applicable</t>
        </is>
      </c>
      <c r="I22" s="16" t="inlineStr">
        <is>
          <t>16.5 to 19.5 years as on 01-07-2027 (born between 01-01-2008 and 01-01-2011)</t>
        </is>
      </c>
      <c r="J22" s="16" t="inlineStr">
        <is>
          <t>Annual (TES-57; course commences July 2027)</t>
        </is>
      </c>
      <c r="K22" s="16" t="inlineStr">
        <is>
          <t>Permanent Commission entry; stipend Rs.56,100 per month during training at IMA; 90 provisional vacancies</t>
        </is>
      </c>
      <c r="L22" s="16" t="inlineStr">
        <is>
          <t>Applications 14-10-2026 to 12-11-2026</t>
        </is>
      </c>
      <c r="M22" s="16" t="inlineStr">
        <is>
          <t>Open now</t>
        </is>
      </c>
      <c r="N22" s="16" t="inlineStr">
        <is>
          <t>2026-10</t>
        </is>
      </c>
      <c r="O22" s="16" t="inlineStr">
        <is>
          <t>https://joinindianarmy.nic.in</t>
        </is>
      </c>
      <c r="P22" s="16" t="inlineStr">
        <is>
          <t>https://www.ssbcrack.com/2026/10/tes-57-notification-technical-entry-scheme-indian-army-july-2027-course.html</t>
        </is>
      </c>
      <c r="Q22" s="16" t="inlineStr">
        <is>
          <t>Indian Army TES-57 notification released 14 October 2026 (90 vacancies). Included as PD-type defence entry/entrance coverage; the specific PD issue placement was not directly verified.</t>
        </is>
      </c>
    </row>
    <row r="23">
      <c r="A23" s="16" t="n">
        <v>22</v>
      </c>
      <c r="B23" s="16" t="inlineStr">
        <is>
          <t>Admission / Entrance Exam</t>
        </is>
      </c>
      <c r="C23" s="16" t="inlineStr">
        <is>
          <t>UGC National Eligibility Test (UGC-NET) December 2026</t>
        </is>
      </c>
      <c r="D23" s="16" t="inlineStr">
        <is>
          <t>National Testing Agency (NTA), on behalf of the University Grants Commission (UGC)</t>
        </is>
      </c>
      <c r="E23" s="16" t="inlineStr">
        <is>
          <t>Master's degree or equivalent with at least 55% marks (50% for reserved categories); final-year Master's students also eligible</t>
        </is>
      </c>
      <c r="F23" s="16" t="inlineStr">
        <is>
          <t>All categories (category-wise fee)</t>
        </is>
      </c>
      <c r="G23" s="16" t="inlineStr">
        <is>
          <t>Boys and girls</t>
        </is>
      </c>
      <c r="H23" s="16" t="inlineStr">
        <is>
          <t>Not applicable</t>
        </is>
      </c>
      <c r="I23" s="16" t="inlineStr">
        <is>
          <t>No age limit for Assistant Professor; JRF upper age limit as per UGC norms (up to 30 years)</t>
        </is>
      </c>
      <c r="J23" s="16" t="inlineStr">
        <is>
          <t>Twice-yearly (December 2026 session)</t>
        </is>
      </c>
      <c r="K23" s="16" t="inlineStr">
        <is>
          <t>Eligibility test for JRF, Assistant Professor and PhD admission; fee Rs.1,150 (General), Rs.600 (EWS/OBC-NCL), Rs.325 (SC/ST/PwD/third gender)</t>
        </is>
      </c>
      <c r="L23" s="16" t="inlineStr">
        <is>
          <t>Application 08/10/2026 to 28/10/2026 (late fee to 31/10/2026); exam 14-19/12/2026</t>
        </is>
      </c>
      <c r="M23" s="16" t="inlineStr">
        <is>
          <t>Open</t>
        </is>
      </c>
      <c r="N23" s="16" t="inlineStr">
        <is>
          <t>2026-11</t>
        </is>
      </c>
      <c r="O23" s="16" t="inlineStr">
        <is>
          <t>ugcnet.nta.nic.in</t>
        </is>
      </c>
      <c r="P23" s="16" t="inlineStr">
        <is>
          <t>https://ugcnet.nta.nic.in ; https://pratiyogitakosh.com/admission</t>
        </is>
      </c>
      <c r="Q23" s="16" t="inlineStr">
        <is>
          <t>New cycle (December 2026) of an exam Pratiyogita Darpan has already logged for June 2025. INFERRED from its normal coverage (not directly seen - the November 2026 issue index shows current-affairs/exam content but no item-level Career News list).</t>
        </is>
      </c>
    </row>
    <row r="24">
      <c r="A24" s="16" t="n">
        <v>23</v>
      </c>
      <c r="B24" s="16" t="inlineStr">
        <is>
          <t>Scholarship / Fellowship</t>
        </is>
      </c>
      <c r="C24" s="16" t="inlineStr">
        <is>
          <t>Aditya Birla Capital Scholarship Programme 2026-27</t>
        </is>
      </c>
      <c r="D24" s="16" t="inlineStr">
        <is>
          <t>Aditya Birla Capital Foundation, administered through Buddy4Study</t>
        </is>
      </c>
      <c r="E24" s="16" t="inlineStr">
        <is>
          <t>Meritorious girl students studying in Classes 9 to 12, Polytechnic Diploma, undergraduate or postgraduate courses at recognised government schools, colleges or institutions across India</t>
        </is>
      </c>
      <c r="F24" s="16" t="inlineStr">
        <is>
          <t>All categories</t>
        </is>
      </c>
      <c r="G24" s="16" t="inlineStr">
        <is>
          <t>Girls and women only</t>
        </is>
      </c>
      <c r="H24" s="16" t="inlineStr">
        <is>
          <t>Annual family income up to Rs 6,00,000 from all sources</t>
        </is>
      </c>
      <c r="I24" s="16" t="inlineStr">
        <is>
          <t>No age limit stated in the scheme notice</t>
        </is>
      </c>
      <c r="J24" s="16" t="inlineStr">
        <is>
          <t>Annual (2026-27 round)</t>
        </is>
      </c>
      <c r="K24" s="16" t="inlineStr">
        <is>
          <t>Scholarship of up to Rs 60,000, based on education level</t>
        </is>
      </c>
      <c r="L24" s="16" t="inlineStr">
        <is>
          <t>Applications close 30.10.2026</t>
        </is>
      </c>
      <c r="M24" s="16" t="inlineStr">
        <is>
          <t>Open now</t>
        </is>
      </c>
      <c r="N24" s="16" t="inlineStr">
        <is>
          <t>2026-10</t>
        </is>
      </c>
      <c r="O24" s="16" t="inlineStr">
        <is>
          <t>www.buddy4study.com</t>
        </is>
      </c>
      <c r="P24" s="16" t="inlineStr">
        <is>
          <t>https://educationbytes.in/seven-scholarship-schemes-2026-buddy4study/</t>
        </is>
      </c>
      <c r="Q24" s="16" t="inlineStr">
        <is>
          <t>Minimum 60% marks in the most recent academic year required. Not directly verified in a specific issue this run - the magazine's own site was not reachable from the harvester, so the entry is attributed from that magazine's normal coverage and the facts come from the sources in the Source(s) column.</t>
        </is>
      </c>
    </row>
    <row r="25">
      <c r="A25" s="16" t="n">
        <v>24</v>
      </c>
      <c r="B25" s="16" t="inlineStr">
        <is>
          <t>Scholarship / Fellowship</t>
        </is>
      </c>
      <c r="C25" s="16" t="inlineStr">
        <is>
          <t>Vahani Scholarship 2026</t>
        </is>
      </c>
      <c r="D25" s="16" t="inlineStr">
        <is>
          <t>Vahani Scholarship Trust</t>
        </is>
      </c>
      <c r="E25" s="16" t="inlineStr">
        <is>
          <t>Students currently in Class 12 who have secured at least 85% in Class 10, for undergraduate study after school</t>
        </is>
      </c>
      <c r="F25" s="16" t="inlineStr">
        <is>
          <t>All categories (means based)</t>
        </is>
      </c>
      <c r="G25" s="16" t="inlineStr">
        <is>
          <t>Boys and girls</t>
        </is>
      </c>
      <c r="H25" s="16" t="inlineStr">
        <is>
          <t>Annual family income below Rs 3 lakh</t>
        </is>
      </c>
      <c r="I25" s="16" t="inlineStr">
        <is>
          <t>Not stated in the scheme guidelines</t>
        </is>
      </c>
      <c r="J25" s="16" t="inlineStr">
        <is>
          <t>Annual (2026 intake)</t>
        </is>
      </c>
      <c r="K25" s="16" t="inlineStr">
        <is>
          <t>Full tuition fee plus support towards travel, books, food and accommodation, a laptop grant, and mentoring and career guidance</t>
        </is>
      </c>
      <c r="L25" s="16" t="inlineStr">
        <is>
          <t>Last date to apply 01-11-2026</t>
        </is>
      </c>
      <c r="M25" s="16" t="inlineStr">
        <is>
          <t>Open now</t>
        </is>
      </c>
      <c r="N25" s="16" t="inlineStr">
        <is>
          <t>2026-10</t>
        </is>
      </c>
      <c r="O25" s="16" t="inlineStr">
        <is>
          <t>vahani.org</t>
        </is>
      </c>
      <c r="P25" s="16" t="inlineStr">
        <is>
          <t>https://kashmirobserver.net/2026/10/24/scholarships-this-week-105/</t>
        </is>
      </c>
      <c r="Q25" s="16" t="inlineStr">
        <is>
          <t>Selection is provisional until the prescribed Class 12 performance condition is met. Not directly verified in a specific issue this run - the magazine's own site was not reachable from the harvester, so the entry is attributed from that magazine's normal coverage and the facts come from the sources in the Source(s) column.</t>
        </is>
      </c>
    </row>
    <row r="26">
      <c r="A26" t="n">
        <v>25</v>
      </c>
      <c r="B26" t="inlineStr">
        <is>
          <t>Admission / Entrance Exam</t>
        </is>
      </c>
      <c r="C26" t="inlineStr">
        <is>
          <t>CLAT 2027 (Common Law Admission Test)</t>
        </is>
      </c>
      <c r="D26" t="inlineStr">
        <is>
          <t>Consortium of National Law Universities</t>
        </is>
      </c>
      <c r="E26" t="inlineStr">
        <is>
          <t>Class 12 / Intermediate students and above seeking admission to 5-year integrated law programmes at NLUs</t>
        </is>
      </c>
      <c r="F26" t="inlineStr">
        <is>
          <t>All categories</t>
        </is>
      </c>
      <c r="G26" t="inlineStr">
        <is>
          <t>Boys and girls</t>
        </is>
      </c>
      <c r="H26" t="inlineStr">
        <is>
          <t>Not applicable</t>
        </is>
      </c>
      <c r="I26" t="inlineStr">
        <is>
          <t>As per CLAT 2027 rules</t>
        </is>
      </c>
      <c r="J26" t="inlineStr">
        <is>
          <t>Annual (2027 intake)</t>
        </is>
      </c>
      <c r="K26" t="inlineStr">
        <is>
          <t>Application fee as notified; no scholarship advertised in the notice</t>
        </is>
      </c>
      <c r="L26" t="inlineStr">
        <is>
          <t>Applications open till 31-Oct-2026; exam 06-Dec-2026</t>
        </is>
      </c>
      <c r="M26" t="inlineStr">
        <is>
          <t>Open now - closes 31-Oct-2026</t>
        </is>
      </c>
      <c r="N26" t="inlineStr">
        <is>
          <t>2026-11</t>
        </is>
      </c>
      <c r="O26" t="inlineStr">
        <is>
          <t>https://consortiumofnlus.ac.in</t>
        </is>
      </c>
      <c r="P26" t="inlineStr">
        <is>
          <t>consortiumofnlus.ac.in; pratiyogitakosh.com admission notices (posted 05-Oct-2026)</t>
        </is>
      </c>
      <c r="Q26" t="inlineStr">
        <is>
          <t>Dates verified on the official exam portal; appearance in the November 2026 issue is inferred from Pratiyogita Darpan's standard admissions/entrance coverage and is not page-verified.</t>
        </is>
      </c>
    </row>
    <row r="27">
      <c r="A27" t="n">
        <v>26</v>
      </c>
      <c r="B27" t="inlineStr">
        <is>
          <t>Admission / Entrance Exam</t>
        </is>
      </c>
      <c r="C27" t="inlineStr">
        <is>
          <t>UGC NET December 2026</t>
        </is>
      </c>
      <c r="D27" t="inlineStr">
        <is>
          <t>National Testing Agency (NTA) for UGC</t>
        </is>
      </c>
      <c r="E27" t="inlineStr">
        <is>
          <t>PG degree holders (or equivalent) seeking eligibility for Assistant Professor and Junior Research Fellowship</t>
        </is>
      </c>
      <c r="F27" t="inlineStr">
        <is>
          <t>All categories</t>
        </is>
      </c>
      <c r="G27" t="inlineStr">
        <is>
          <t>Boys and girls</t>
        </is>
      </c>
      <c r="H27" t="inlineStr">
        <is>
          <t>Not applicable</t>
        </is>
      </c>
      <c r="I27" t="inlineStr">
        <is>
          <t>No upper age limit for Assistant Professor; JRF as per UGC rules</t>
        </is>
      </c>
      <c r="J27" t="inlineStr">
        <is>
          <t>Twice a year (June and December sessions)</t>
        </is>
      </c>
      <c r="K27" t="inlineStr">
        <is>
          <t>Application fee as notified; JRF carries a monthly fellowship</t>
        </is>
      </c>
      <c r="L27" t="inlineStr">
        <is>
          <t>Revised bulletin: application last date 31-Oct-2026 with late fee; correction window 02-04 Nov 2026; exam 14-21 Dec 2026</t>
        </is>
      </c>
      <c r="M27" t="inlineStr">
        <is>
          <t>Open now - late-fee window closes 31-Oct-2026</t>
        </is>
      </c>
      <c r="N27" t="inlineStr">
        <is>
          <t>2026-11</t>
        </is>
      </c>
      <c r="O27" t="inlineStr">
        <is>
          <t>https://ugcnet.nta.ac.in</t>
        </is>
      </c>
      <c r="P27" t="inlineStr">
        <is>
          <t>ugcnet.nta.ac.in; pratiyogitakosh.com admission notices (posted 16-Oct-2026)</t>
        </is>
      </c>
      <c r="Q27" t="inlineStr">
        <is>
          <t>Dates verified on the official exam portal; appearance in the November 2026 issue is inferred from Pratiyogita Darpan's standard admissions/entrance coverage and is not page-verified.</t>
        </is>
      </c>
    </row>
    <row r="28">
      <c r="A28" t="n">
        <v>27</v>
      </c>
      <c r="B28" t="inlineStr">
        <is>
          <t>Admission / Entrance Exam</t>
        </is>
      </c>
      <c r="C28" t="inlineStr">
        <is>
          <t>Joint CSIR-UGC NET December 2026</t>
        </is>
      </c>
      <c r="D28" t="inlineStr">
        <is>
          <t>National Testing Agency (NTA) for CSIR</t>
        </is>
      </c>
      <c r="E28" t="inlineStr">
        <is>
          <t>M.Sc / BE / B.Tech / B.Pharma / MBBS and equivalent science graduates for PhD admission and JRF-Lectureship</t>
        </is>
      </c>
      <c r="F28" t="inlineStr">
        <is>
          <t>All categories</t>
        </is>
      </c>
      <c r="G28" t="inlineStr">
        <is>
          <t>Boys and girls</t>
        </is>
      </c>
      <c r="H28" t="inlineStr">
        <is>
          <t>Not applicable</t>
        </is>
      </c>
      <c r="I28" t="inlineStr">
        <is>
          <t>JRF as per CSIR rules; Lectureship no upper limit</t>
        </is>
      </c>
      <c r="J28" t="inlineStr">
        <is>
          <t>Twice a year (June and December sessions)</t>
        </is>
      </c>
      <c r="K28" t="inlineStr">
        <is>
          <t>Application fee as notified; JRF/SRF carry monthly fellowship</t>
        </is>
      </c>
      <c r="L28" t="inlineStr">
        <is>
          <t>Apply 07-Oct-2026 to 05-Nov-2026; exam 19, 22 and 27-Dec-2026</t>
        </is>
      </c>
      <c r="M28" t="inlineStr">
        <is>
          <t>Open now - apply by 05-Nov-2026</t>
        </is>
      </c>
      <c r="N28" t="inlineStr">
        <is>
          <t>2026-11</t>
        </is>
      </c>
      <c r="O28" t="inlineStr">
        <is>
          <t>https://csirnet.nta.ac.in</t>
        </is>
      </c>
      <c r="P28" t="inlineStr">
        <is>
          <t>csirnet.nta.ac.in; pratiyogitakosh.com admission notices (posted 07-Oct-2026)</t>
        </is>
      </c>
      <c r="Q28" t="inlineStr">
        <is>
          <t>Dates verified on the official exam portal; appearance in the November 2026 issue is inferred from Pratiyogita Darpan's standard admissions/entrance coverage and is not page-verified.</t>
        </is>
      </c>
    </row>
    <row r="29">
      <c r="A29" t="n">
        <v>28</v>
      </c>
      <c r="B29" t="inlineStr">
        <is>
          <t>Admission / Entrance Exam</t>
        </is>
      </c>
      <c r="C29" t="inlineStr">
        <is>
          <t>NIFT Entrance Examination (NIFTEE) 2027</t>
        </is>
      </c>
      <c r="D29" t="inlineStr">
        <is>
          <t>National Institute of Fashion Technology (NIFT), exam conducted by NTA</t>
        </is>
      </c>
      <c r="E29" t="inlineStr">
        <is>
          <t>Class 12 / Intermediate for B.Des and B.FTech; graduation for M.Des, M.FTech and MFM</t>
        </is>
      </c>
      <c r="F29" t="inlineStr">
        <is>
          <t>All categories</t>
        </is>
      </c>
      <c r="G29" t="inlineStr">
        <is>
          <t>Boys and girls</t>
        </is>
      </c>
      <c r="H29" t="inlineStr">
        <is>
          <t>Not applicable</t>
        </is>
      </c>
      <c r="I29" t="inlineStr">
        <is>
          <t>As per NIFT 2027 rules (upper limit relaxed for reserved categories)</t>
        </is>
      </c>
      <c r="J29" t="inlineStr">
        <is>
          <t>Annual (2027 intake)</t>
        </is>
      </c>
      <c r="K29" t="inlineStr">
        <is>
          <t>Application fee as notified; fee-based programmes</t>
        </is>
      </c>
      <c r="L29" t="inlineStr">
        <is>
          <t>Apply by 16-Nov-2026; exam 10-Jan-2027</t>
        </is>
      </c>
      <c r="M29" t="inlineStr">
        <is>
          <t>Open now - apply by 16-Nov-2026</t>
        </is>
      </c>
      <c r="N29" t="inlineStr">
        <is>
          <t>2026-11</t>
        </is>
      </c>
      <c r="O29" t="inlineStr">
        <is>
          <t>https://nift.nta.nic.in</t>
        </is>
      </c>
      <c r="P29" t="inlineStr">
        <is>
          <t>nift.nta.nic.in; pratiyogitakosh.com admission notices (posted 18-Oct-2026)</t>
        </is>
      </c>
      <c r="Q29" t="inlineStr">
        <is>
          <t>Dates verified on the official exam portal; appearance in the November 2026 issue is inferred from Pratiyogita Darpan's standard admissions/entrance coverage and is not page-verified.</t>
        </is>
      </c>
    </row>
    <row r="30">
      <c r="A30" t="n">
        <v>29</v>
      </c>
      <c r="B30" t="inlineStr">
        <is>
          <t>Admission / Entrance Exam</t>
        </is>
      </c>
      <c r="C30" t="inlineStr">
        <is>
          <t>NMAT by GMAC 2026-27 (NMIMS / GMAC management admission test)</t>
        </is>
      </c>
      <c r="D30" t="inlineStr">
        <is>
          <t>Graduate Management Admission Council (GMAC)</t>
        </is>
      </c>
      <c r="E30" t="inlineStr">
        <is>
          <t>Graduates seeking admission to MBA / PGDM programmes that accept NMAT scores</t>
        </is>
      </c>
      <c r="F30" t="inlineStr">
        <is>
          <t>All categories</t>
        </is>
      </c>
      <c r="G30" t="inlineStr">
        <is>
          <t>Boys and girls</t>
        </is>
      </c>
      <c r="H30" t="inlineStr">
        <is>
          <t>Not applicable</t>
        </is>
      </c>
      <c r="I30" t="inlineStr">
        <is>
          <t>As per NMAT 2026-27 rules</t>
        </is>
      </c>
      <c r="J30" t="inlineStr">
        <is>
          <t>Annual (2026-27 admission cycle)</t>
        </is>
      </c>
      <c r="K30" t="inlineStr">
        <is>
          <t>Application fee as notified; retake options available</t>
        </is>
      </c>
      <c r="L30" t="inlineStr">
        <is>
          <t>Registration closed; exam window opens 02-Nov-2026</t>
        </is>
      </c>
      <c r="M30" t="inlineStr">
        <is>
          <t>Upcoming - exam window from 02-Nov-2026</t>
        </is>
      </c>
      <c r="N30" t="inlineStr">
        <is>
          <t>2026-11</t>
        </is>
      </c>
      <c r="O30" t="inlineStr">
        <is>
          <t>https://www.mba.com/exams/nmat</t>
        </is>
      </c>
      <c r="P30" t="inlineStr">
        <is>
          <t>mba.com; pratiyogitakosh.com admission notices (posted 25-Oct-2026)</t>
        </is>
      </c>
      <c r="Q30" t="inlineStr">
        <is>
          <t>Dates verified on the official exam portal; appearance in the November 2026 issue is inferred from Pratiyogita Darpan's standard admissions/entrance coverage and is not page-verified.</t>
        </is>
      </c>
    </row>
  </sheetData>
  <autoFilter ref="A1:Q20"/>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2026-09-28T06:29:37Z</dcterms:created>
  <dcterms:modified xmlns:dcterms="http://purl.org/dc/terms/" xmlns:xsi="http://www.w3.org/2001/XMLSchema-instance" xsi:type="dcterms:W3CDTF">2026-10-28T20:39:20Z</dcterms:modified>
  <cp:revision>0</cp:revision>
</cp:coreProperties>
</file>