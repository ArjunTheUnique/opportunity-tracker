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<sst xmlns="http://schemas.openxmlformats.org/spreadsheetml/2006/main" count="436" uniqueCount="289">
  <si>
    <t xml:space="preserve">Udyoga Sopanam - Opportunities Log</t>
  </si>
  <si>
    <t xml:space="preserve">Coverage window: April 2025 - September 2026 (18 months) | Sections logged: scholarships &amp; fellowships, internships, admissions &amp; entrance exams (no government job recruitment, per scope)</t>
  </si>
  <si>
    <t xml:space="preserve">Compiled: 28 September 2026</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</si>
  <si>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</si>
  <si>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</si>
  <si>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</si>
  <si>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</si>
  <si>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</si>
  <si>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</si>
  <si>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</si>
  <si>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</si>
  <si>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</si>
  <si>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</si>
  <si>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</si>
  <si>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</si>
  <si>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</si>
  <si>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</si>
  <si>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</si>
  <si>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</si>
  <si>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</si>
  <si>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</si>
  <si>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</si>
  <si>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</si>
  <si>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</si>
  <si>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</si>
  <si>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</si>
  <si>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</si>
  <si>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</si>
  <si>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</si>
  <si>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</si>
  <si>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</si>
  <si>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</si>
  <si>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</si>
  <si>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</si>
  <si>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</si>
  <si>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</si>
  <si>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Vidyadhan Scholarship Program 2025 (Andhra Pradesh and Telangana)</t>
  </si>
  <si>
    <t xml:space="preserve">Sarojini Damodaran Foundation</t>
  </si>
  <si>
    <t xml:space="preserve">10th pass students entering Intermediate 1st year; later degree, engineering, medical</t>
  </si>
  <si>
    <t xml:space="preserve">Open to all communities from economically weaker families</t>
  </si>
  <si>
    <t xml:space="preserve">Open to all</t>
  </si>
  <si>
    <t xml:space="preserve">Family annual income below Rs 2 lakh</t>
  </si>
  <si>
    <t xml:space="preserve">Not specified</t>
  </si>
  <si>
    <t xml:space="preserve">Annual; renewable through graduation</t>
  </si>
  <si>
    <t xml:space="preserve">Rs 10,000 per year for Intermediate; Rs 10,000 to Rs 75,000 per year for degree, engineering and medical courses</t>
  </si>
  <si>
    <t xml:space="preserve">Applications closed 30 June 2025; screening test 13 July 2025; interviews 19-31 July 2025</t>
  </si>
  <si>
    <t xml:space="preserve">Closed</t>
  </si>
  <si>
    <t xml:space="preserve">2025-06</t>
  </si>
  <si>
    <t xml:space="preserve">www.vidyadhan.org</t>
  </si>
  <si>
    <t xml:space="preserve">https://www.vidyadhan.org/apply</t>
  </si>
  <si>
    <t xml:space="preserve">Not directly verified in a specific magazine issue; 90 percent (or 9 CGPA) in class 10 required, 75 percent for students with disability. Widely covered in Telugu media (TV9 Telugu, Eenadu) and within the magazine's normal scholarship coverage.</t>
  </si>
  <si>
    <t xml:space="preserve">Vidyadhan Scholarship 2026 (Andhra Pradesh and Telangana)</t>
  </si>
  <si>
    <t xml:space="preserve">Students who passed class 10 in 2026 entering Intermediate; continuing support through degree</t>
  </si>
  <si>
    <t xml:space="preserve">Up to Rs 10,000 per year for Inter; up to Rs 75,000 per year for degree, engineering and medical courses</t>
  </si>
  <si>
    <t xml:space="preserve">Applications invited from April 2026; deadline 20 June 2026 (some coverage reported extension to 5 July 2026)</t>
  </si>
  <si>
    <t xml:space="preserve">2026-05</t>
  </si>
  <si>
    <t xml:space="preserve">https://pratibha.eenadu.net/home/article_landing/education-job-information/the-deadline-for-applying-for-vidyadan-scholarship/9-23010017160</t>
  </si>
  <si>
    <t xml:space="preserve">Not directly verified in a specific magazine issue; deadline of 20 June 2026 per Eenadu Pratibha (10 May 2026), with later Telugu coverage reporting 5 July 2026 after extension.</t>
  </si>
  <si>
    <t xml:space="preserve">PM-USP Central Sector Scheme of Scholarship for College and University Students (CSSS) 2025</t>
  </si>
  <si>
    <t xml:space="preserve">Ministry of Education, Government of India (via National Scholarship Portal)</t>
  </si>
  <si>
    <t xml:space="preserve">First year UG and integrated PG students (regular courses)</t>
  </si>
  <si>
    <t xml:space="preserve">Open to all; board-exam merit based</t>
  </si>
  <si>
    <t xml:space="preserve">50 percent of scholarships reserved for girls</t>
  </si>
  <si>
    <t xml:space="preserve">Income certificate required for fresh applicants</t>
  </si>
  <si>
    <t xml:space="preserve">18 to 25 years</t>
  </si>
  <si>
    <t xml:space="preserve">Annual; up to 5 years (UG plus PG)</t>
  </si>
  <si>
    <t xml:space="preserve">Rs 12,000 per year for first 3 years of UG; Rs 20,000 per year at PG level (4th year for professional courses)</t>
  </si>
  <si>
    <t xml:space="preserve">Apply by 31 October 2025 on National Scholarship Portal</t>
  </si>
  <si>
    <t xml:space="preserve">2025-10</t>
  </si>
  <si>
    <t xml:space="preserve">www.scholarships.gov.in</t>
  </si>
  <si>
    <t xml:space="preserve">https://pratibha.eenadu.net/notifications/notification_article/scholorships/central-sector-scheme-of-scholarship/2-8-31-23070016830</t>
  </si>
  <si>
    <t xml:space="preserve">Not directly verified in a specific magazine issue; details as reported by Eenadu Pratibha notification (July 2025); 82,000 scholarships nationwide each year.</t>
  </si>
  <si>
    <t xml:space="preserve">Telangana ePASS Post-Matric Scholarships 2025-26 (fresh and renewal)</t>
  </si>
  <si>
    <t xml:space="preserve">Government of Telangana (Scheduled Castes Development and other welfare departments)</t>
  </si>
  <si>
    <t xml:space="preserve">Post-matric courses from ITI to degree and PG</t>
  </si>
  <si>
    <t xml:space="preserve">SC, ST, BC, EBC, Minority and differently-abled students</t>
  </si>
  <si>
    <t xml:space="preserve">Category-wise income ceilings apply (about Rs 1 to 2 lakh per year)</t>
  </si>
  <si>
    <t xml:space="preserve">Annual (academic year 2025-26)</t>
  </si>
  <si>
    <t xml:space="preserve">Full tuition fee reimbursement plus maintenance allowance; DBT to student accounts</t>
  </si>
  <si>
    <t xml:space="preserve">Registration opened 1 July 2025; deadline extended repeatedly to 31 March 2026, then 20 April 2026 and finally 31 May 2026</t>
  </si>
  <si>
    <t xml:space="preserve">2025-07</t>
  </si>
  <si>
    <t xml:space="preserve">telanganaepass.cgg.gov.in</t>
  </si>
  <si>
    <t xml:space="preserve">https://www.thehindu.com/news/national/telangana/registration-date-for-post-matric-scholarship-extended/article70787956.ece</t>
  </si>
  <si>
    <t xml:space="preserve">Not directly verified in a specific magazine issue; window verified via The Hindu (26 March 2026) and Telangana government press notes; 75 percent attendance required.</t>
  </si>
  <si>
    <t xml:space="preserve">Andhra Pradesh Jnanabhumi Post-Matric Scholarships 2025-26 (RTF and MTF)</t>
  </si>
  <si>
    <t xml:space="preserve">Government of Andhra Pradesh (Social Welfare Department, saturation mode)</t>
  </si>
  <si>
    <t xml:space="preserve">ITI, Polytechnic, Degree and above level courses</t>
  </si>
  <si>
    <t xml:space="preserve">SC, ST, BC, EBC, Kapu, Minority and differently-abled students</t>
  </si>
  <si>
    <t xml:space="preserve">Family annual income up to Rs 2.5 lakh (with land and property criteria)</t>
  </si>
  <si>
    <t xml:space="preserve">RTF full tuition fee reimbursement; MTF Rs 10,000 per year for ITI, Rs 15,000 for Polytechnic, Rs 20,000 for degree and above</t>
  </si>
  <si>
    <t xml:space="preserve">Applications open with the academic year; completion window roughly August to October 2025</t>
  </si>
  <si>
    <t xml:space="preserve">2025-09</t>
  </si>
  <si>
    <t xml:space="preserve">jnanabhumi.ap.gov.in</t>
  </si>
  <si>
    <t xml:space="preserve">https://jnanabhumi.ap.gov.in/</t>
  </si>
  <si>
    <t xml:space="preserve">Not directly verified in a specific magazine issue; scheme terms verified from the Jnanabhumi official portal; exact 2025-26 closing date not published in a single notice.</t>
  </si>
  <si>
    <t xml:space="preserve">ONGC Merit Scholarship 2025-26</t>
  </si>
  <si>
    <t xml:space="preserve">Oil and Natural Gas Corporation Limited</t>
  </si>
  <si>
    <t xml:space="preserve">First year BE or BTech, MBBS; PG MBA and MSc Geology or Geophysics (2025-26 joiners)</t>
  </si>
  <si>
    <t xml:space="preserve">SC, ST, OBC and General-EWS (50 percent of scholarships for women)</t>
  </si>
  <si>
    <t xml:space="preserve">50 percent reserved for women</t>
  </si>
  <si>
    <t xml:space="preserve">General and EWS up to Rs 2 lakh; SC and ST up to Rs 4.5 lakh</t>
  </si>
  <si>
    <t xml:space="preserve">Not above 30 years as on 1 August 2025</t>
  </si>
  <si>
    <t xml:space="preserve">Annual; paid for course duration</t>
  </si>
  <si>
    <t xml:space="preserve">Rs 4,000 per month (Rs 48,000 per year); 2,000 scholarships across India</t>
  </si>
  <si>
    <t xml:space="preserve">Apply by 15 May (2025-26 cycle, as reported April 2026)</t>
  </si>
  <si>
    <t xml:space="preserve">2026-04</t>
  </si>
  <si>
    <t xml:space="preserve">ongcindia.com</t>
  </si>
  <si>
    <t xml:space="preserve">https://pratibha.eenadu.net/notifications/notification_article/scholorships/ongc-scholarships-for-ug-pg-students/2-8-31-23070026500</t>
  </si>
  <si>
    <t xml:space="preserve">Not directly verified in a specific magazine issue; details per Eenadu Pratibha scholarship notification; minimum 60 percent marks in qualifying exam.</t>
  </si>
  <si>
    <t xml:space="preserve">uGSOT Scholarship Program 2026</t>
  </si>
  <si>
    <t xml:space="preserve">upGrad School of Technology</t>
  </si>
  <si>
    <t xml:space="preserve">Class 12 (science) pass students joining BE or BTech Computer Science with GenAI, ML, Quantum Computing and Full Stack specialisations</t>
  </si>
  <si>
    <t xml:space="preserve">Open to all; separate tracks including Girls in Tech, Defence and need-based</t>
  </si>
  <si>
    <t xml:space="preserve">Girls in Tech track for female students</t>
  </si>
  <si>
    <t xml:space="preserve">Not specified (merit and need tracks)</t>
  </si>
  <si>
    <t xml:space="preserve">One-time for 2026 admissions</t>
  </si>
  <si>
    <t xml:space="preserve">Up to 100 percent tuition fee waiver plus hostel support in select cases</t>
  </si>
  <si>
    <t xml:space="preserve">Apply by 13 August 2026 (online only)</t>
  </si>
  <si>
    <t xml:space="preserve">2026-07</t>
  </si>
  <si>
    <t xml:space="preserve">www.b4s.in/sen/UGST1</t>
  </si>
  <si>
    <t xml:space="preserve">https://education.sakshi.com/scholarships/education-news/ugsot-scholarship-program-2026-apply-online-news-telugu-196630</t>
  </si>
  <si>
    <t xml:space="preserve">Not directly verified in a specific magazine issue; selection through uGNET entrance plus profile score and seat availability; covered by Sakshi Education.</t>
  </si>
  <si>
    <t xml:space="preserve">IIT Hyderabad SURE (Summer Undergraduate Research Exposure) Internship 2026</t>
  </si>
  <si>
    <t xml:space="preserve">Indian Institute of Technology Hyderabad</t>
  </si>
  <si>
    <t xml:space="preserve">Non-IITH students: 2nd and 3rd year BTech or BDes (all branches), 1st year MSc or MA, 3rd and 4th year integrated BTech-MTech</t>
  </si>
  <si>
    <t xml:space="preserve">100 of 250 intern slots reserved exclusively for girls</t>
  </si>
  <si>
    <t xml:space="preserve">Not applicable</t>
  </si>
  <si>
    <t xml:space="preserve">Not specified; must be top 20 percent of class</t>
  </si>
  <si>
    <t xml:space="preserve">Annual summer programme</t>
  </si>
  <si>
    <t xml:space="preserve">Fellowship Rs 15,000 for two months (Rs 7,500 per month for one month; Rs 10,000 for one-and-a-half months); free hostel, mess at intern cost</t>
  </si>
  <si>
    <t xml:space="preserve">Applications 28 February to 14 March 2026 (extended); internship 15 May to 14 July 2026</t>
  </si>
  <si>
    <t xml:space="preserve">2026-03</t>
  </si>
  <si>
    <t xml:space="preserve">www.iith.ac.in</t>
  </si>
  <si>
    <t xml:space="preserve">https://www.iith.ac.in/news/2026/03/10/Summer-Undergraduate-Research-Exposure/</t>
  </si>
  <si>
    <t xml:space="preserve">Not directly verified in a specific magazine issue; dates verified from the official IIT Hyderabad notice; results announced April 2026.</t>
  </si>
  <si>
    <t xml:space="preserve">NITI Aayog Internship Scheme</t>
  </si>
  <si>
    <t xml:space="preserve">NITI Aayog, Government of India</t>
  </si>
  <si>
    <t xml:space="preserve">UG students past 2nd year or 4th semester (85 percent in class 12), PG and research students (70 percent aggregate)</t>
  </si>
  <si>
    <t xml:space="preserve">Rolling; 6 weeks to 6 months</t>
  </si>
  <si>
    <t xml:space="preserve">Unpaid; experience certificate on 75 percent attendance</t>
  </si>
  <si>
    <t xml:space="preserve">Applications accepted online between the 1st and 10th of every month</t>
  </si>
  <si>
    <t xml:space="preserve">Rolling</t>
  </si>
  <si>
    <t xml:space="preserve">2025-04</t>
  </si>
  <si>
    <t xml:space="preserve">www.niti.gov.in</t>
  </si>
  <si>
    <t xml:space="preserve">https://fundaspring.com/blogs/education-headlines-in-india/niti-aayog-internship-2025</t>
  </si>
  <si>
    <t xml:space="preserve">Not directly verified in a specific magazine issue; rolling national scheme; coverage month is nominal (start of the review window) since it recurs every month of the period.</t>
  </si>
  <si>
    <t xml:space="preserve">AP EAPCET 2025 (Engineering, Agriculture and Pharmacy Common Entrance Test)</t>
  </si>
  <si>
    <t xml:space="preserve">JNTU Kakinada on behalf of APSCHE</t>
  </si>
  <si>
    <t xml:space="preserve">First year BE, BTech, BPharm, PharmD and agriculture courses in Andhra Pradesh</t>
  </si>
  <si>
    <t xml:space="preserve">Open to all; local reservation per AP rules</t>
  </si>
  <si>
    <t xml:space="preserve">Minimum 16 years for Engineering and Pharmacy; no upper limit</t>
  </si>
  <si>
    <t xml:space="preserve">Annual (2025-26 academic year)</t>
  </si>
  <si>
    <t xml:space="preserve">Application fee per category-wise APSCHE slabs; late fees Rs 1,000 to Rs 10,000</t>
  </si>
  <si>
    <t xml:space="preserve">Notification 12 March 2025; apply 15 March to 24 April 2025 without late fee (late windows to 16 May); exams 19-20 May 2025 (Agri and Pharmacy) and 21-27 May 2025 (Engineering)</t>
  </si>
  <si>
    <t xml:space="preserve">cets.apsche.ap.gov.in/EAPCET</t>
  </si>
  <si>
    <t xml:space="preserve">https://cets.apsche.ap.gov.in/EAPCET25/EapcetHomepages/ImportantDates.aspx</t>
  </si>
  <si>
    <t xml:space="preserve">Not directly verified in a specific magazine issue; dates verified from the official APSCHE AP EAPCET 2025 schedule; core CET covered by the magazine every year.</t>
  </si>
  <si>
    <t xml:space="preserve">TG EAPCET 2025 (Telangana EAPCET, formerly TS EAMCET)</t>
  </si>
  <si>
    <t xml:space="preserve">JNTU Hyderabad on behalf of TGCHE</t>
  </si>
  <si>
    <t xml:space="preserve">First year BE, BTech, BPharm, PharmD and agriculture courses in Telangana</t>
  </si>
  <si>
    <t xml:space="preserve">Open to all; local reservation per TG rules</t>
  </si>
  <si>
    <t xml:space="preserve">Registration fee category-wise (approx Rs 500 for SC, ST and PH; Rs 900 for others); late fees Rs 250 to Rs 5,000</t>
  </si>
  <si>
    <t xml:space="preserve">Notification 20 February 2025; apply 25 February to 4 April 2025 without late fee; exams 29-30 April 2025 (Agri and Pharmacy) and 2-5 May 2025 (Engineering)</t>
  </si>
  <si>
    <t xml:space="preserve">eapcet.tgche.ac.in</t>
  </si>
  <si>
    <t xml:space="preserve">https://timesofindia.indiatimes.com/education/news/ts-eamcet-2025-notice-out-check-important-dates-exam-schedule-and-more/articleshow/118414962.cms</t>
  </si>
  <si>
    <t xml:space="preserve">Not directly verified in a specific magazine issue; dates verified via Times of India report of the official TGCHE notice.</t>
  </si>
  <si>
    <t xml:space="preserve">AP ECET 2025 (Engineering Common Entrance Test)</t>
  </si>
  <si>
    <t xml:space="preserve">JNTU Anantapur on behalf of APSCHE</t>
  </si>
  <si>
    <t xml:space="preserve">Lateral entry into 2nd year BE, BTech and BPharm for diploma holders and BSc Mathematics graduates</t>
  </si>
  <si>
    <t xml:space="preserve">Registration fee Rs 550; late fees Rs 1,000 to Rs 10,000</t>
  </si>
  <si>
    <t xml:space="preserve">Notification 10 March 2025; apply 12 March to 7 April 2025 without late fee (late windows to 28 April); exam 6 May 2025</t>
  </si>
  <si>
    <t xml:space="preserve">cets.apsche.ap.gov.in/ECET</t>
  </si>
  <si>
    <t xml:space="preserve">https://cets.apsche.ap.gov.in/ECET25/UI/ImportantDates.aspx</t>
  </si>
  <si>
    <t xml:space="preserve">Not directly verified in a specific magazine issue; dates verified from the official AP ECET 2025 important dates page.</t>
  </si>
  <si>
    <t xml:space="preserve">TG ECET 2025 (Telangana Engineering Common Entrance Test)</t>
  </si>
  <si>
    <t xml:space="preserve">Osmania University on behalf of TGCHE</t>
  </si>
  <si>
    <t xml:space="preserve">Registration fee Rs 500 for SC, ST and PH; Rs 900 for others; late fees Rs 500 and Rs 1,000</t>
  </si>
  <si>
    <t xml:space="preserve">Notification 25 February 2025; apply 3 March to 19 April 2025 without late fee; exam 12 May 2025</t>
  </si>
  <si>
    <t xml:space="preserve">ecet.tgche.ac.in</t>
  </si>
  <si>
    <t xml:space="preserve">https://education.sakshi.com/en/entrance-exam/education-news/tg-ecet-2025-notification-171597</t>
  </si>
  <si>
    <t xml:space="preserve">Not directly verified in a specific magazine issue; dates verified via Sakshi Education and official TG ECET notification copies.</t>
  </si>
  <si>
    <t xml:space="preserve">AP ICET 2025 (Integrated Common Entrance Test)</t>
  </si>
  <si>
    <t xml:space="preserve">Andhra University, Visakhapatnam on behalf of APSCHE</t>
  </si>
  <si>
    <t xml:space="preserve">First year MBA and MCA courses in Andhra Pradesh</t>
  </si>
  <si>
    <t xml:space="preserve">Application fee Rs 650 OC, Rs 600 BC, Rs 550 SC and ST; late fees Rs 1,000 to Rs 10,000</t>
  </si>
  <si>
    <t xml:space="preserve">Notification 11 March 2025; apply 13 March to 9 April 2025 without late fee; exam 7 May 2025; results 21 May 2025</t>
  </si>
  <si>
    <t xml:space="preserve">cets.apsche.ap.gov.in/ICET</t>
  </si>
  <si>
    <t xml:space="preserve">https://cets.apsche.ap.gov.in/ICET25/ICETHomePages/ImportantDates.aspx</t>
  </si>
  <si>
    <t xml:space="preserve">Not directly verified in a specific magazine issue; dates verified from the official AP ICET 2025 important dates page.</t>
  </si>
  <si>
    <t xml:space="preserve">TG ICET 2025 (Telangana Integrated Common Entrance Test)</t>
  </si>
  <si>
    <t xml:space="preserve">Mahatma Gandhi University, Nalgonda on behalf of TGCHE</t>
  </si>
  <si>
    <t xml:space="preserve">First year MBA and MCA courses in Telangana universities and affiliated colleges</t>
  </si>
  <si>
    <t xml:space="preserve">Registration fee Rs 750 general, Rs 550 for SC, ST and differently-abled; late fees Rs 250 and Rs 500</t>
  </si>
  <si>
    <t xml:space="preserve">Notification 6 March 2025; apply 10 March to 3 May 2025 without late fee; exams 8 and 9 June 2025; results 7 July 2025</t>
  </si>
  <si>
    <t xml:space="preserve">2025-05</t>
  </si>
  <si>
    <t xml:space="preserve">icet.tgche.ac.in</t>
  </si>
  <si>
    <t xml:space="preserve">https://mguniversity.ac.in/uploads/notifications/Press%20Note%20Release%20of%20Notification%20on%2006032025.pdf</t>
  </si>
  <si>
    <t xml:space="preserve">Not directly verified in a specific magazine issue; dates verified from the MGU official press note for TG ICET 2025.</t>
  </si>
  <si>
    <t xml:space="preserve">AP LAWCET and AP PGLCET 2025</t>
  </si>
  <si>
    <t xml:space="preserve">Sri Padmavati Mahila Visvavidyalayam, Tirupati on behalf of APSCHE</t>
  </si>
  <si>
    <t xml:space="preserve">3-year and 5-year LLB and 2-year LLM courses in Andhra Pradesh</t>
  </si>
  <si>
    <t xml:space="preserve">Application fee approx Rs 900 OC, Rs 850 BC, Rs 800 SC and ST; late fees Rs 1,000 to Rs 10,000</t>
  </si>
  <si>
    <t xml:space="preserve">Notification 22 March 2025; apply 25 March to 27 April 2025 without late fee; exam 5 June 2025; results 22 June 2025</t>
  </si>
  <si>
    <t xml:space="preserve">cets.apsche.ap.gov.in/LAWCET</t>
  </si>
  <si>
    <t xml:space="preserve">https://cets.apsche.ap.gov.in/LAWCET25/UI/ImportantDates.aspx</t>
  </si>
  <si>
    <t xml:space="preserve">Not directly verified in a specific magazine issue; dates verified from the official AP LAWCET 2025 important dates page.</t>
  </si>
  <si>
    <t xml:space="preserve">TG DOST 2025-26 (Degree Online Services, Telangana)</t>
  </si>
  <si>
    <t xml:space="preserve">Telangana Council of Higher Education</t>
  </si>
  <si>
    <t xml:space="preserve">UG degree admissions (BA, BSc, BCom, BBA, BCA and related) in Telangana universities and colleges</t>
  </si>
  <si>
    <t xml:space="preserve">Annual (2025-26 academic year); 3 phases</t>
  </si>
  <si>
    <t xml:space="preserve">Registration fee Rs 200 phase 1 and Rs 400 phases 2 and 3</t>
  </si>
  <si>
    <t xml:space="preserve">Notification 2 May 2025; phase 1 registration 3-21 May 2025; phases 2 and 3 through June; classes commence 30 June 2025</t>
  </si>
  <si>
    <t xml:space="preserve">dost.cgg.gov.in</t>
  </si>
  <si>
    <t xml:space="preserve">https://education.sakshi.com/en/admissions/education-news/dost-2025-26-notification-released-telangana-degree-admission-schedule-out-dostcgggovin-175699</t>
  </si>
  <si>
    <t xml:space="preserve">Not directly verified in a specific magazine issue; schedule verified via Sakshi Education and Telangana Today reports of the official DOST notification.</t>
  </si>
  <si>
    <t xml:space="preserve">AP Degree Admissions 2025 (OAMDC online counselling)</t>
  </si>
  <si>
    <t xml:space="preserve">Andhra Pradesh State Council of Higher Education</t>
  </si>
  <si>
    <t xml:space="preserve">UG degree admissions (BA, BSc, BCom, BBA, B.Voc, BCA and 5-year integrated PG) in AP degree colleges</t>
  </si>
  <si>
    <t xml:space="preserve">Annual (2025-26 academic year); phased web counselling</t>
  </si>
  <si>
    <t xml:space="preserve">Processing fee approx Rs 400 OC, Rs 300 BC, Rs 200 SC and ST</t>
  </si>
  <si>
    <t xml:space="preserve">Notification 20 August 2025; phase 1 registration 20-26 August 2025; phase 2 registration extended to 3 October 2025</t>
  </si>
  <si>
    <t xml:space="preserve">2025-08</t>
  </si>
  <si>
    <t xml:space="preserve">oamdc.ucanapply.com</t>
  </si>
  <si>
    <t xml:space="preserve">https://www.thehindu.com/news/national/andhra-pradesh/apsche-extends-undergraduate-admissions-deadline-to-october-3/article70113987.ece</t>
  </si>
  <si>
    <t xml:space="preserve">Not directly verified in a specific magazine issue; schedule verified via The Hindu and Sakshi Post reports of the APSCHE OAMDC notification.</t>
  </si>
  <si>
    <t xml:space="preserve">AP EAPCET 2026 (Engineering, Agriculture and Pharmacy Common Entrance Test)</t>
  </si>
  <si>
    <t xml:space="preserve">First year BE, BTech, BPharm, PharmD and agriculture courses in Andhra Pradesh (2026-27)</t>
  </si>
  <si>
    <t xml:space="preserve">Minimum 16 years for Engineering and Pharmacy as on 31 December 2026</t>
  </si>
  <si>
    <t xml:space="preserve">Annual (2026-27 academic year)</t>
  </si>
  <si>
    <t xml:space="preserve">Registration fee Rs 800, Rs 750 BC and Rs 700 SC and ST; late fees Rs 1,000 to Rs 10,000</t>
  </si>
  <si>
    <t xml:space="preserve">Notification 3 February 2026; apply 4 February to 7 March 2026 without late fee (extended windows to April); exams 12-15 and 18 May 2026 (Engineering) and 19-20 May 2026 (Agri and Pharmacy)</t>
  </si>
  <si>
    <t xml:space="preserve">https://cets.apsche.ap.gov.in/eapcet/EapcetHomepages/ImportantDates.aspx</t>
  </si>
  <si>
    <t xml:space="preserve">Not directly verified in a specific magazine issue; dates verified from the official AP EAPCET 2026 important dates page.</t>
  </si>
  <si>
    <t xml:space="preserve">TG EAPCET 2026 (Telangana EAPCET)</t>
  </si>
  <si>
    <t xml:space="preserve">First year BE, BTech, BPharm, PharmD and agriculture courses in Telangana (2026-27)</t>
  </si>
  <si>
    <t xml:space="preserve">Registration fee Rs 500 for SC, ST and PH and Rs 900 for others; late fees Rs 250 to Rs 10,000</t>
  </si>
  <si>
    <t xml:space="preserve">Notification 14 February 2026; apply 19 February to 4 April 2026 without late fee (late windows to 2 May); exams 4-5 May 2026 (Agri and Pharmacy) and 9-11 May 2026 (Engineering)</t>
  </si>
  <si>
    <t xml:space="preserve">https://eapcet.tgche.ac.in/</t>
  </si>
  <si>
    <t xml:space="preserve">Not directly verified in a specific magazine issue; dates verified from the official TG EAPCET 2026 website and Manabadi coverage.</t>
  </si>
  <si>
    <t xml:space="preserve">MANUU CSE-RCA Entrance 2025-26 (free Civil Services coaching admission)</t>
  </si>
  <si>
    <t xml:space="preserve">Maulana Azad National Urdu University, Hyderabad</t>
  </si>
  <si>
    <t xml:space="preserve">Graduates (any degree) seeking residential coaching for UPSC Civil Services (Prelims cum Mains)</t>
  </si>
  <si>
    <t xml:space="preserve">Minorities, SC, ST and Women candidates</t>
  </si>
  <si>
    <t xml:space="preserve">Women explicitly eligible; scheme prioritises minorities, SC and ST</t>
  </si>
  <si>
    <t xml:space="preserve">Annual (2025-26 session); 100 seats</t>
  </si>
  <si>
    <t xml:space="preserve">Entrance exam fee Rs 500; admitted students pay about Rs 12,000 total (tuition Rs 5,000, health insurance Rs 2,000, hostel Rs 4,500); mess extra</t>
  </si>
  <si>
    <t xml:space="preserve">Notification 20 June 2025; apply 25 June to 25 July 2025; entrance test 3 August 2025; classes from 1 September 2025</t>
  </si>
  <si>
    <t xml:space="preserve">manuu.edu.in</t>
  </si>
  <si>
    <t xml:space="preserve">https://manuu.edu.in/sites/default/files/Notification/2025-06/Notification_CSERCAMANUU.pdf</t>
  </si>
  <si>
    <t xml:space="preserve">Not directly verified in a specific magazine issue; admission via objective plus essay test and interview; verified from the official MANUU notification.</t>
  </si>
  <si>
    <t xml:space="preserve">University of Hyderabad PG and M.Tech Admissions 2025-26</t>
  </si>
  <si>
    <t xml:space="preserve">University of Hyderabad</t>
  </si>
  <si>
    <t xml:space="preserve">41 PG programmes (MSc, MPA, MFA, MVA, MBA, MTech) for 2025-26</t>
  </si>
  <si>
    <t xml:space="preserve">Open to all; all-India admission</t>
  </si>
  <si>
    <t xml:space="preserve">Application fee approx Rs 300 general with concessions for reserved categories</t>
  </si>
  <si>
    <t xml:space="preserve">Last date for online applications 9 June 2025; interviews 24-26 June 2025; classes from August 2025; selection via CUET PG 2025 or GATE scores</t>
  </si>
  <si>
    <t xml:space="preserve">acad.uohyd.ac.in</t>
  </si>
  <si>
    <t xml:space="preserve">https://categories.epratibha.net/Notification/admissions/1/2/253903000751</t>
  </si>
  <si>
    <t xml:space="preserve">Not directly verified in a specific magazine issue; covered by Eenadu Pratibha notifications portal; within the magazine's university admissions coverage.</t>
  </si>
  <si>
    <t xml:space="preserve">NEST 2025 (National Entrance Screening Test)</t>
  </si>
  <si>
    <t xml:space="preserve">NISER Bhubaneswar and UM-DAE CEBS Mumbai (Department of Atomic Energy)</t>
  </si>
  <si>
    <t xml:space="preserve">5-year integrated MSc in basic sciences at NISER and UM-DAE CEBS</t>
  </si>
  <si>
    <t xml:space="preserve">Open to all; 60 percent in class 12 (55 percent for SC, ST and Divyangjan)</t>
  </si>
  <si>
    <t xml:space="preserve">Class 12 passed in 2023, 2024 or 2025</t>
  </si>
  <si>
    <t xml:space="preserve">Application fee Rs 1,400 for male UR and OBC; Rs 700 for SC, ST, Divyangjan and all female applicants; selected students get DISHA scholarship Rs 60,000 per year plus Rs 20,000 summer internship grant</t>
  </si>
  <si>
    <t xml:space="preserve">Applications 17 February to 9 May 2025; exam 22 June 2025</t>
  </si>
  <si>
    <t xml:space="preserve">www.nestexam.in</t>
  </si>
  <si>
    <t xml:space="preserve">https://www.biotecnika.org/2025/02/nest-2025-national-entrance-screening-test-official-notification-for-admissions-to-niser-um-dae-cebs/</t>
  </si>
  <si>
    <t xml:space="preserve">Not directly verified in a specific magazine issue; a national entrance exam within the magazine's coverage scope; verified via Biotechnika reproduction of the official notice.</t>
  </si>
  <si>
    <t xml:space="preserve">AIAPGET 2026 (All India AYUSH Post Graduate Entrance Test)</t>
  </si>
  <si>
    <t xml:space="preserve">National Testing Agency (NTA) on behalf of Ministry of AYUSH</t>
  </si>
  <si>
    <t xml:space="preserve">PG admissions in Ayurveda, Unani, Siddha and Homoeopathy colleges for 2026-27</t>
  </si>
  <si>
    <t xml:space="preserve">Open to all; all-India test</t>
  </si>
  <si>
    <t xml:space="preserve">Application fee per NTA category-wise slabs (not stated in verified report)</t>
  </si>
  <si>
    <t xml:space="preserve">Apply by 31 July 2026; exam 22 August 2026</t>
  </si>
  <si>
    <t xml:space="preserve">exams.nta.ac.in</t>
  </si>
  <si>
    <t xml:space="preserve">https://pratibha.eenadu.net/home/article_landing/education-job-information/common-entrance-tests/9-23010018214</t>
  </si>
  <si>
    <t xml:space="preserve">Not directly verified in a specific magazine issue; date and deadline per Eenadu Pratibha education desk report (July 2026).</t>
  </si>
  <si>
    <t xml:space="preserve">MDI PGDM 2026 Admissions</t>
  </si>
  <si>
    <t xml:space="preserve">Management Development Institute (MDI)</t>
  </si>
  <si>
    <t xml:space="preserve">Post Graduate Diploma in Management (PGDM) 2026 cycle</t>
  </si>
  <si>
    <t xml:space="preserve">Annual (2026 admission cycle)</t>
  </si>
  <si>
    <t xml:space="preserve">Application fee as per MDI admission notice (not stated on magazine site listing)</t>
  </si>
  <si>
    <t xml:space="preserve">Application window as per MDI 2026 admission schedule; specific deadline not stated in the magazine listing</t>
  </si>
  <si>
    <t xml:space="preserve">Dates TBA</t>
  </si>
  <si>
    <t xml:space="preserve">2026-09</t>
  </si>
  <si>
    <t xml:space="preserve">www.mdi.ac.in</t>
  </si>
  <si>
    <t xml:space="preserve">https://www.udyogasopanam.com/</t>
  </si>
  <si>
    <t xml:space="preserve">Directly verified item: listed among the latest notifications on the magazine's official website udyogasopanam.com as of 28 September 2026 (Telugu headline: MDI lo PGDM 2026 praveshalu). Specific magazine issue not identified.</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</si>
</sst>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FC7CE"/>
        <bgColor rgb="FFEDEDED"/>
      </patternFill>
    </fill>
    <fill>
      <patternFill patternType="solid">
        <fgColor rgb="FFDDEBF7"/>
        <bgColor rgb="FFEDEDED"/>
      </patternFill>
    </fill>
    <fill>
      <patternFill patternType="solid">
        <fgColor rgb="FFEDEDED"/>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 collapsed="false" customWidth="true" hidden="false" outlineLevel="0" max="4" min="4" style="0" width="16"/>
  </cols>
  <sheetData>
    <row r="2" customFormat="false" ht="1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t="s">
        <v>2</v>
      </c>
    </row>
    <row r="6" customFormat="false" ht="15" hidden="false" customHeight="false" outlineLevel="0" collapsed="false">
      <c r="B6" s="3" t="s">
        <v>3</v>
      </c>
    </row>
    <row r="7" customFormat="false" ht="15" hidden="false" customHeight="true" outlineLevel="0" collapsed="false">
      <c r="B7" s="4" t="s">
        <v>4</v>
      </c>
      <c r="C7" s="4"/>
      <c r="D7" s="4"/>
    </row>
    <row r="8" customFormat="false" ht="15" hidden="false" customHeight="false" outlineLevel="0" collapsed="false">
      <c r="B8" s="4"/>
      <c r="C8" s="4"/>
      <c r="D8" s="4"/>
    </row>
    <row r="9" customFormat="false" ht="15" hidden="false" customHeight="true" outlineLevel="0" collapsed="false">
      <c r="B9" s="4" t="s">
        <v>5</v>
      </c>
      <c r="C9" s="4"/>
      <c r="D9" s="4"/>
    </row>
    <row r="10" customFormat="false" ht="15" hidden="false" customHeight="false" outlineLevel="0" collapsed="false">
      <c r="B10" s="4"/>
      <c r="C10" s="4"/>
      <c r="D10" s="4"/>
    </row>
    <row r="11" customFormat="false" ht="15" hidden="false" customHeight="true" outlineLevel="0" collapsed="false">
      <c r="B11" s="4" t="s">
        <v>6</v>
      </c>
      <c r="C11" s="4"/>
      <c r="D11" s="4"/>
    </row>
    <row r="12" customFormat="false" ht="15" hidden="false" customHeight="false" outlineLevel="0" collapsed="false">
      <c r="B12" s="4"/>
      <c r="C12" s="4"/>
      <c r="D12" s="4"/>
    </row>
    <row r="13" customFormat="false" ht="15" hidden="false" customHeight="true" outlineLevel="0" collapsed="false">
      <c r="B13" s="4" t="s">
        <v>7</v>
      </c>
      <c r="C13" s="4"/>
      <c r="D13" s="4"/>
    </row>
    <row r="14" customFormat="false" ht="15" hidden="false" customHeight="false" outlineLevel="0" collapsed="false">
      <c r="B14" s="4"/>
      <c r="C14" s="4"/>
      <c r="D14" s="4"/>
    </row>
    <row r="17" customFormat="false" ht="15" hidden="false" customHeight="false" outlineLevel="0" collapsed="false">
      <c r="B17" s="3" t="s">
        <v>8</v>
      </c>
    </row>
    <row r="18" customFormat="false" ht="15" hidden="false" customHeight="false" outlineLevel="0" collapsed="false">
      <c r="B18" s="5" t="s">
        <v>9</v>
      </c>
      <c r="C18" s="5" t="s">
        <v>10</v>
      </c>
      <c r="D18" s="5" t="s">
        <v>11</v>
      </c>
    </row>
    <row r="19" customFormat="false" ht="15" hidden="false" customHeight="false" outlineLevel="0" collapsed="false">
      <c r="B19" s="6" t="s">
        <v>12</v>
      </c>
      <c r="C19" s="7" t="s">
        <v>13</v>
      </c>
      <c r="D19" s="8" t="n">
        <f aca="false">COUNTIF(Log!B2:B300,"Scholarship / Fellowship")</f>
        <v>7</v>
      </c>
    </row>
    <row r="20" customFormat="false" ht="15" hidden="false" customHeight="false" outlineLevel="0" collapsed="false">
      <c r="B20" s="6" t="s">
        <v>14</v>
      </c>
      <c r="C20" s="7" t="s">
        <v>15</v>
      </c>
      <c r="D20" s="8" t="n">
        <f aca="false">COUNTIF(Log!B2:B300,"Internship")</f>
        <v>2</v>
      </c>
    </row>
    <row r="21" customFormat="false" ht="15" hidden="false" customHeight="false" outlineLevel="0" collapsed="false">
      <c r="B21" s="6" t="s">
        <v>16</v>
      </c>
      <c r="C21" s="7" t="s">
        <v>17</v>
      </c>
      <c r="D21" s="8" t="n">
        <f aca="false">COUNTIF(Log!B2:B300,"Admission / Entrance Exam")</f>
        <v>16</v>
      </c>
    </row>
    <row r="23" customFormat="false" ht="15" hidden="false" customHeight="false" outlineLevel="0" collapsed="false">
      <c r="B23" s="9" t="s">
        <v>18</v>
      </c>
      <c r="D23" s="10" t="n">
        <f aca="false">COUNTA(Log!A2:A300)</f>
        <v>25</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40"/>
    <col collapsed="false" customWidth="true" hidden="false" outlineLevel="0" max="4" min="4" style="0" width="30"/>
    <col collapsed="false" customWidth="true" hidden="false" outlineLevel="0" max="5" min="5" style="0" width="38"/>
    <col collapsed="false" customWidth="true" hidden="false" outlineLevel="0" max="6" min="6" style="0" width="20"/>
    <col collapsed="false" customWidth="true" hidden="false" outlineLevel="0" max="7" min="7" style="0" width="10"/>
    <col collapsed="false" customWidth="true" hidden="false" outlineLevel="0" max="8" min="8" style="0" width="16"/>
    <col collapsed="false" customWidth="true" hidden="false" outlineLevel="0" max="9" min="9" style="0" width="12"/>
    <col collapsed="false" customWidth="true" hidden="false" outlineLevel="0" max="10" min="10" style="0" width="18"/>
    <col collapsed="false" customWidth="true" hidden="false" outlineLevel="0" max="12" min="11" style="0" width="26"/>
    <col collapsed="false" customWidth="true" hidden="false" outlineLevel="0" max="13" min="13" style="0" width="12"/>
    <col collapsed="false" customWidth="true" hidden="false" outlineLevel="0" max="14" min="14" style="0" width="13"/>
    <col collapsed="false" customWidth="true" hidden="false" outlineLevel="0" max="15" min="15" style="0" width="30"/>
    <col collapsed="false" customWidth="true" hidden="false" outlineLevel="0" max="16" min="16" style="0" width="34"/>
    <col collapsed="false" customWidth="true" hidden="false" outlineLevel="0" max="17" min="17" style="0" width="38"/>
  </cols>
  <sheetData>
    <row r="1" customFormat="false" ht="15" hidden="false" customHeight="false" outlineLevel="0" collapsed="false">
      <c r="A1" s="11" t="s">
        <v>19</v>
      </c>
      <c r="B1" s="11" t="s">
        <v>20</v>
      </c>
      <c r="C1" s="11" t="s">
        <v>21</v>
      </c>
      <c r="D1" s="11" t="s">
        <v>22</v>
      </c>
      <c r="E1" s="11" t="s">
        <v>23</v>
      </c>
      <c r="F1" s="11" t="s">
        <v>24</v>
      </c>
      <c r="G1" s="11" t="s">
        <v>25</v>
      </c>
      <c r="H1" s="11" t="s">
        <v>26</v>
      </c>
      <c r="I1" s="11" t="s">
        <v>27</v>
      </c>
      <c r="J1" s="11" t="s">
        <v>28</v>
      </c>
      <c r="K1" s="11" t="s">
        <v>29</v>
      </c>
      <c r="L1" s="11" t="s">
        <v>30</v>
      </c>
      <c r="M1" s="11" t="s">
        <v>31</v>
      </c>
      <c r="N1" s="11" t="s">
        <v>32</v>
      </c>
      <c r="O1" s="11" t="s">
        <v>33</v>
      </c>
      <c r="P1" s="11" t="s">
        <v>34</v>
      </c>
      <c r="Q1" s="11" t="s">
        <v>35</v>
      </c>
    </row>
    <row r="2" customFormat="false" ht="15" hidden="false" customHeight="false" outlineLevel="0" collapsed="false">
      <c r="A2" s="7" t="n">
        <v>1</v>
      </c>
      <c r="B2" s="7" t="s">
        <v>12</v>
      </c>
      <c r="C2" s="7" t="s">
        <v>36</v>
      </c>
      <c r="D2" s="7" t="s">
        <v>37</v>
      </c>
      <c r="E2" s="7" t="s">
        <v>38</v>
      </c>
      <c r="F2" s="7" t="s">
        <v>39</v>
      </c>
      <c r="G2" s="7" t="s">
        <v>40</v>
      </c>
      <c r="H2" s="7" t="s">
        <v>41</v>
      </c>
      <c r="I2" s="7" t="s">
        <v>42</v>
      </c>
      <c r="J2" s="7" t="s">
        <v>43</v>
      </c>
      <c r="K2" s="7" t="s">
        <v>44</v>
      </c>
      <c r="L2" s="7" t="s">
        <v>45</v>
      </c>
      <c r="M2" s="12" t="s">
        <v>46</v>
      </c>
      <c r="N2" s="7" t="s">
        <v>47</v>
      </c>
      <c r="O2" s="7" t="s">
        <v>48</v>
      </c>
      <c r="P2" s="7" t="s">
        <v>49</v>
      </c>
      <c r="Q2" s="7" t="s">
        <v>50</v>
      </c>
    </row>
    <row r="3" customFormat="false" ht="15" hidden="false" customHeight="false" outlineLevel="0" collapsed="false">
      <c r="A3" s="7" t="n">
        <v>2</v>
      </c>
      <c r="B3" s="7" t="s">
        <v>12</v>
      </c>
      <c r="C3" s="7" t="s">
        <v>51</v>
      </c>
      <c r="D3" s="7" t="s">
        <v>37</v>
      </c>
      <c r="E3" s="7" t="s">
        <v>52</v>
      </c>
      <c r="F3" s="7" t="s">
        <v>39</v>
      </c>
      <c r="G3" s="7" t="s">
        <v>40</v>
      </c>
      <c r="H3" s="7" t="s">
        <v>41</v>
      </c>
      <c r="I3" s="7" t="s">
        <v>42</v>
      </c>
      <c r="J3" s="7" t="s">
        <v>43</v>
      </c>
      <c r="K3" s="7" t="s">
        <v>53</v>
      </c>
      <c r="L3" s="7" t="s">
        <v>54</v>
      </c>
      <c r="M3" s="12" t="s">
        <v>46</v>
      </c>
      <c r="N3" s="7" t="s">
        <v>55</v>
      </c>
      <c r="O3" s="7" t="s">
        <v>48</v>
      </c>
      <c r="P3" s="7" t="s">
        <v>56</v>
      </c>
      <c r="Q3" s="7" t="s">
        <v>57</v>
      </c>
    </row>
    <row r="4" customFormat="false" ht="15" hidden="false" customHeight="false" outlineLevel="0" collapsed="false">
      <c r="A4" s="7" t="n">
        <v>3</v>
      </c>
      <c r="B4" s="7" t="s">
        <v>12</v>
      </c>
      <c r="C4" s="7" t="s">
        <v>58</v>
      </c>
      <c r="D4" s="7" t="s">
        <v>59</v>
      </c>
      <c r="E4" s="7" t="s">
        <v>60</v>
      </c>
      <c r="F4" s="7" t="s">
        <v>61</v>
      </c>
      <c r="G4" s="7" t="s">
        <v>62</v>
      </c>
      <c r="H4" s="7" t="s">
        <v>63</v>
      </c>
      <c r="I4" s="7" t="s">
        <v>64</v>
      </c>
      <c r="J4" s="7" t="s">
        <v>65</v>
      </c>
      <c r="K4" s="7" t="s">
        <v>66</v>
      </c>
      <c r="L4" s="7" t="s">
        <v>67</v>
      </c>
      <c r="M4" s="12" t="s">
        <v>46</v>
      </c>
      <c r="N4" s="7" t="s">
        <v>68</v>
      </c>
      <c r="O4" s="7" t="s">
        <v>69</v>
      </c>
      <c r="P4" s="7" t="s">
        <v>70</v>
      </c>
      <c r="Q4" s="7" t="s">
        <v>71</v>
      </c>
    </row>
    <row r="5" customFormat="false" ht="15" hidden="false" customHeight="false" outlineLevel="0" collapsed="false">
      <c r="A5" s="7" t="n">
        <v>4</v>
      </c>
      <c r="B5" s="7" t="s">
        <v>12</v>
      </c>
      <c r="C5" s="7" t="s">
        <v>72</v>
      </c>
      <c r="D5" s="7" t="s">
        <v>73</v>
      </c>
      <c r="E5" s="7" t="s">
        <v>74</v>
      </c>
      <c r="F5" s="7" t="s">
        <v>75</v>
      </c>
      <c r="G5" s="7" t="s">
        <v>40</v>
      </c>
      <c r="H5" s="7" t="s">
        <v>76</v>
      </c>
      <c r="I5" s="7" t="s">
        <v>42</v>
      </c>
      <c r="J5" s="7" t="s">
        <v>77</v>
      </c>
      <c r="K5" s="7" t="s">
        <v>78</v>
      </c>
      <c r="L5" s="7" t="s">
        <v>79</v>
      </c>
      <c r="M5" s="12" t="s">
        <v>46</v>
      </c>
      <c r="N5" s="7" t="s">
        <v>80</v>
      </c>
      <c r="O5" s="7" t="s">
        <v>81</v>
      </c>
      <c r="P5" s="7" t="s">
        <v>82</v>
      </c>
      <c r="Q5" s="7" t="s">
        <v>83</v>
      </c>
    </row>
    <row r="6" customFormat="false" ht="15" hidden="false" customHeight="false" outlineLevel="0" collapsed="false">
      <c r="A6" s="7" t="n">
        <v>5</v>
      </c>
      <c r="B6" s="7" t="s">
        <v>12</v>
      </c>
      <c r="C6" s="7" t="s">
        <v>84</v>
      </c>
      <c r="D6" s="7" t="s">
        <v>85</v>
      </c>
      <c r="E6" s="7" t="s">
        <v>86</v>
      </c>
      <c r="F6" s="7" t="s">
        <v>87</v>
      </c>
      <c r="G6" s="7" t="s">
        <v>40</v>
      </c>
      <c r="H6" s="7" t="s">
        <v>88</v>
      </c>
      <c r="I6" s="7" t="s">
        <v>42</v>
      </c>
      <c r="J6" s="7" t="s">
        <v>77</v>
      </c>
      <c r="K6" s="7" t="s">
        <v>89</v>
      </c>
      <c r="L6" s="7" t="s">
        <v>90</v>
      </c>
      <c r="M6" s="12" t="s">
        <v>46</v>
      </c>
      <c r="N6" s="7" t="s">
        <v>91</v>
      </c>
      <c r="O6" s="7" t="s">
        <v>92</v>
      </c>
      <c r="P6" s="7" t="s">
        <v>93</v>
      </c>
      <c r="Q6" s="7" t="s">
        <v>94</v>
      </c>
    </row>
    <row r="7" customFormat="false" ht="15" hidden="false" customHeight="false" outlineLevel="0" collapsed="false">
      <c r="A7" s="7" t="n">
        <v>6</v>
      </c>
      <c r="B7" s="7" t="s">
        <v>12</v>
      </c>
      <c r="C7" s="7" t="s">
        <v>95</v>
      </c>
      <c r="D7" s="7" t="s">
        <v>96</v>
      </c>
      <c r="E7" s="7" t="s">
        <v>97</v>
      </c>
      <c r="F7" s="7" t="s">
        <v>98</v>
      </c>
      <c r="G7" s="7" t="s">
        <v>99</v>
      </c>
      <c r="H7" s="7" t="s">
        <v>100</v>
      </c>
      <c r="I7" s="7" t="s">
        <v>101</v>
      </c>
      <c r="J7" s="7" t="s">
        <v>102</v>
      </c>
      <c r="K7" s="7" t="s">
        <v>103</v>
      </c>
      <c r="L7" s="7" t="s">
        <v>104</v>
      </c>
      <c r="M7" s="12" t="s">
        <v>46</v>
      </c>
      <c r="N7" s="7" t="s">
        <v>105</v>
      </c>
      <c r="O7" s="7" t="s">
        <v>106</v>
      </c>
      <c r="P7" s="7" t="s">
        <v>107</v>
      </c>
      <c r="Q7" s="7" t="s">
        <v>108</v>
      </c>
    </row>
    <row r="8" customFormat="false" ht="15" hidden="false" customHeight="false" outlineLevel="0" collapsed="false">
      <c r="A8" s="7" t="n">
        <v>7</v>
      </c>
      <c r="B8" s="7" t="s">
        <v>12</v>
      </c>
      <c r="C8" s="7" t="s">
        <v>109</v>
      </c>
      <c r="D8" s="7" t="s">
        <v>110</v>
      </c>
      <c r="E8" s="7" t="s">
        <v>111</v>
      </c>
      <c r="F8" s="7" t="s">
        <v>112</v>
      </c>
      <c r="G8" s="7" t="s">
        <v>113</v>
      </c>
      <c r="H8" s="7" t="s">
        <v>114</v>
      </c>
      <c r="I8" s="7" t="s">
        <v>42</v>
      </c>
      <c r="J8" s="7" t="s">
        <v>115</v>
      </c>
      <c r="K8" s="7" t="s">
        <v>116</v>
      </c>
      <c r="L8" s="7" t="s">
        <v>117</v>
      </c>
      <c r="M8" s="12" t="s">
        <v>46</v>
      </c>
      <c r="N8" s="7" t="s">
        <v>118</v>
      </c>
      <c r="O8" s="7" t="s">
        <v>119</v>
      </c>
      <c r="P8" s="7" t="s">
        <v>120</v>
      </c>
      <c r="Q8" s="7" t="s">
        <v>121</v>
      </c>
    </row>
    <row r="9" customFormat="false" ht="15" hidden="false" customHeight="false" outlineLevel="0" collapsed="false">
      <c r="A9" s="7" t="n">
        <v>8</v>
      </c>
      <c r="B9" s="7" t="s">
        <v>14</v>
      </c>
      <c r="C9" s="7" t="s">
        <v>122</v>
      </c>
      <c r="D9" s="7" t="s">
        <v>123</v>
      </c>
      <c r="E9" s="7" t="s">
        <v>124</v>
      </c>
      <c r="F9" s="7" t="s">
        <v>40</v>
      </c>
      <c r="G9" s="7" t="s">
        <v>125</v>
      </c>
      <c r="H9" s="7" t="s">
        <v>126</v>
      </c>
      <c r="I9" s="7" t="s">
        <v>127</v>
      </c>
      <c r="J9" s="7" t="s">
        <v>128</v>
      </c>
      <c r="K9" s="7" t="s">
        <v>129</v>
      </c>
      <c r="L9" s="7" t="s">
        <v>130</v>
      </c>
      <c r="M9" s="12" t="s">
        <v>46</v>
      </c>
      <c r="N9" s="7" t="s">
        <v>131</v>
      </c>
      <c r="O9" s="7" t="s">
        <v>132</v>
      </c>
      <c r="P9" s="7" t="s">
        <v>133</v>
      </c>
      <c r="Q9" s="7" t="s">
        <v>134</v>
      </c>
    </row>
    <row r="10" customFormat="false" ht="15" hidden="false" customHeight="false" outlineLevel="0" collapsed="false">
      <c r="A10" s="7" t="n">
        <v>9</v>
      </c>
      <c r="B10" s="7" t="s">
        <v>14</v>
      </c>
      <c r="C10" s="7" t="s">
        <v>135</v>
      </c>
      <c r="D10" s="7" t="s">
        <v>136</v>
      </c>
      <c r="E10" s="7" t="s">
        <v>137</v>
      </c>
      <c r="F10" s="7" t="s">
        <v>40</v>
      </c>
      <c r="G10" s="7" t="s">
        <v>40</v>
      </c>
      <c r="H10" s="7" t="s">
        <v>126</v>
      </c>
      <c r="I10" s="7" t="s">
        <v>42</v>
      </c>
      <c r="J10" s="7" t="s">
        <v>138</v>
      </c>
      <c r="K10" s="7" t="s">
        <v>139</v>
      </c>
      <c r="L10" s="7" t="s">
        <v>140</v>
      </c>
      <c r="M10" s="13" t="s">
        <v>141</v>
      </c>
      <c r="N10" s="7" t="s">
        <v>142</v>
      </c>
      <c r="O10" s="7" t="s">
        <v>143</v>
      </c>
      <c r="P10" s="7" t="s">
        <v>144</v>
      </c>
      <c r="Q10" s="7" t="s">
        <v>145</v>
      </c>
    </row>
    <row r="11" customFormat="false" ht="15" hidden="false" customHeight="false" outlineLevel="0" collapsed="false">
      <c r="A11" s="7" t="n">
        <v>10</v>
      </c>
      <c r="B11" s="7" t="s">
        <v>16</v>
      </c>
      <c r="C11" s="7" t="s">
        <v>146</v>
      </c>
      <c r="D11" s="7" t="s">
        <v>147</v>
      </c>
      <c r="E11" s="7" t="s">
        <v>148</v>
      </c>
      <c r="F11" s="7" t="s">
        <v>149</v>
      </c>
      <c r="G11" s="7" t="s">
        <v>40</v>
      </c>
      <c r="H11" s="7" t="s">
        <v>126</v>
      </c>
      <c r="I11" s="7" t="s">
        <v>150</v>
      </c>
      <c r="J11" s="7" t="s">
        <v>151</v>
      </c>
      <c r="K11" s="7" t="s">
        <v>152</v>
      </c>
      <c r="L11" s="7" t="s">
        <v>153</v>
      </c>
      <c r="M11" s="12" t="s">
        <v>46</v>
      </c>
      <c r="N11" s="7" t="s">
        <v>142</v>
      </c>
      <c r="O11" s="7" t="s">
        <v>154</v>
      </c>
      <c r="P11" s="7" t="s">
        <v>155</v>
      </c>
      <c r="Q11" s="7" t="s">
        <v>156</v>
      </c>
    </row>
    <row r="12" customFormat="false" ht="15" hidden="false" customHeight="false" outlineLevel="0" collapsed="false">
      <c r="A12" s="7" t="n">
        <v>11</v>
      </c>
      <c r="B12" s="7" t="s">
        <v>16</v>
      </c>
      <c r="C12" s="7" t="s">
        <v>157</v>
      </c>
      <c r="D12" s="7" t="s">
        <v>158</v>
      </c>
      <c r="E12" s="7" t="s">
        <v>159</v>
      </c>
      <c r="F12" s="7" t="s">
        <v>160</v>
      </c>
      <c r="G12" s="7" t="s">
        <v>40</v>
      </c>
      <c r="H12" s="7" t="s">
        <v>126</v>
      </c>
      <c r="I12" s="7" t="s">
        <v>42</v>
      </c>
      <c r="J12" s="7" t="s">
        <v>151</v>
      </c>
      <c r="K12" s="7" t="s">
        <v>161</v>
      </c>
      <c r="L12" s="7" t="s">
        <v>162</v>
      </c>
      <c r="M12" s="12" t="s">
        <v>46</v>
      </c>
      <c r="N12" s="7" t="s">
        <v>142</v>
      </c>
      <c r="O12" s="7" t="s">
        <v>163</v>
      </c>
      <c r="P12" s="7" t="s">
        <v>164</v>
      </c>
      <c r="Q12" s="7" t="s">
        <v>165</v>
      </c>
    </row>
    <row r="13" customFormat="false" ht="15" hidden="false" customHeight="false" outlineLevel="0" collapsed="false">
      <c r="A13" s="7" t="n">
        <v>12</v>
      </c>
      <c r="B13" s="7" t="s">
        <v>16</v>
      </c>
      <c r="C13" s="7" t="s">
        <v>166</v>
      </c>
      <c r="D13" s="7" t="s">
        <v>167</v>
      </c>
      <c r="E13" s="7" t="s">
        <v>168</v>
      </c>
      <c r="F13" s="7" t="s">
        <v>149</v>
      </c>
      <c r="G13" s="7" t="s">
        <v>40</v>
      </c>
      <c r="H13" s="7" t="s">
        <v>126</v>
      </c>
      <c r="I13" s="7" t="s">
        <v>42</v>
      </c>
      <c r="J13" s="7" t="s">
        <v>151</v>
      </c>
      <c r="K13" s="7" t="s">
        <v>169</v>
      </c>
      <c r="L13" s="7" t="s">
        <v>170</v>
      </c>
      <c r="M13" s="12" t="s">
        <v>46</v>
      </c>
      <c r="N13" s="7" t="s">
        <v>142</v>
      </c>
      <c r="O13" s="7" t="s">
        <v>171</v>
      </c>
      <c r="P13" s="7" t="s">
        <v>172</v>
      </c>
      <c r="Q13" s="7" t="s">
        <v>173</v>
      </c>
    </row>
    <row r="14" customFormat="false" ht="15" hidden="false" customHeight="false" outlineLevel="0" collapsed="false">
      <c r="A14" s="7" t="n">
        <v>13</v>
      </c>
      <c r="B14" s="7" t="s">
        <v>16</v>
      </c>
      <c r="C14" s="7" t="s">
        <v>174</v>
      </c>
      <c r="D14" s="7" t="s">
        <v>175</v>
      </c>
      <c r="E14" s="7" t="s">
        <v>168</v>
      </c>
      <c r="F14" s="7" t="s">
        <v>160</v>
      </c>
      <c r="G14" s="7" t="s">
        <v>40</v>
      </c>
      <c r="H14" s="7" t="s">
        <v>126</v>
      </c>
      <c r="I14" s="7" t="s">
        <v>42</v>
      </c>
      <c r="J14" s="7" t="s">
        <v>151</v>
      </c>
      <c r="K14" s="7" t="s">
        <v>176</v>
      </c>
      <c r="L14" s="7" t="s">
        <v>177</v>
      </c>
      <c r="M14" s="12" t="s">
        <v>46</v>
      </c>
      <c r="N14" s="7" t="s">
        <v>142</v>
      </c>
      <c r="O14" s="7" t="s">
        <v>178</v>
      </c>
      <c r="P14" s="7" t="s">
        <v>179</v>
      </c>
      <c r="Q14" s="7" t="s">
        <v>180</v>
      </c>
    </row>
    <row r="15" customFormat="false" ht="15" hidden="false" customHeight="false" outlineLevel="0" collapsed="false">
      <c r="A15" s="7" t="n">
        <v>14</v>
      </c>
      <c r="B15" s="7" t="s">
        <v>16</v>
      </c>
      <c r="C15" s="7" t="s">
        <v>181</v>
      </c>
      <c r="D15" s="7" t="s">
        <v>182</v>
      </c>
      <c r="E15" s="7" t="s">
        <v>183</v>
      </c>
      <c r="F15" s="7" t="s">
        <v>149</v>
      </c>
      <c r="G15" s="7" t="s">
        <v>40</v>
      </c>
      <c r="H15" s="7" t="s">
        <v>126</v>
      </c>
      <c r="I15" s="7" t="s">
        <v>42</v>
      </c>
      <c r="J15" s="7" t="s">
        <v>151</v>
      </c>
      <c r="K15" s="7" t="s">
        <v>184</v>
      </c>
      <c r="L15" s="7" t="s">
        <v>185</v>
      </c>
      <c r="M15" s="12" t="s">
        <v>46</v>
      </c>
      <c r="N15" s="7" t="s">
        <v>142</v>
      </c>
      <c r="O15" s="7" t="s">
        <v>186</v>
      </c>
      <c r="P15" s="7" t="s">
        <v>187</v>
      </c>
      <c r="Q15" s="7" t="s">
        <v>188</v>
      </c>
    </row>
    <row r="16" customFormat="false" ht="15" hidden="false" customHeight="false" outlineLevel="0" collapsed="false">
      <c r="A16" s="7" t="n">
        <v>15</v>
      </c>
      <c r="B16" s="7" t="s">
        <v>16</v>
      </c>
      <c r="C16" s="7" t="s">
        <v>189</v>
      </c>
      <c r="D16" s="7" t="s">
        <v>190</v>
      </c>
      <c r="E16" s="7" t="s">
        <v>191</v>
      </c>
      <c r="F16" s="7" t="s">
        <v>160</v>
      </c>
      <c r="G16" s="7" t="s">
        <v>40</v>
      </c>
      <c r="H16" s="7" t="s">
        <v>126</v>
      </c>
      <c r="I16" s="7" t="s">
        <v>42</v>
      </c>
      <c r="J16" s="7" t="s">
        <v>151</v>
      </c>
      <c r="K16" s="7" t="s">
        <v>192</v>
      </c>
      <c r="L16" s="7" t="s">
        <v>193</v>
      </c>
      <c r="M16" s="12" t="s">
        <v>46</v>
      </c>
      <c r="N16" s="7" t="s">
        <v>194</v>
      </c>
      <c r="O16" s="7" t="s">
        <v>195</v>
      </c>
      <c r="P16" s="7" t="s">
        <v>196</v>
      </c>
      <c r="Q16" s="7" t="s">
        <v>197</v>
      </c>
    </row>
    <row r="17" customFormat="false" ht="15" hidden="false" customHeight="false" outlineLevel="0" collapsed="false">
      <c r="A17" s="7" t="n">
        <v>16</v>
      </c>
      <c r="B17" s="7" t="s">
        <v>16</v>
      </c>
      <c r="C17" s="7" t="s">
        <v>198</v>
      </c>
      <c r="D17" s="7" t="s">
        <v>199</v>
      </c>
      <c r="E17" s="7" t="s">
        <v>200</v>
      </c>
      <c r="F17" s="7" t="s">
        <v>149</v>
      </c>
      <c r="G17" s="7" t="s">
        <v>40</v>
      </c>
      <c r="H17" s="7" t="s">
        <v>126</v>
      </c>
      <c r="I17" s="7" t="s">
        <v>42</v>
      </c>
      <c r="J17" s="7" t="s">
        <v>151</v>
      </c>
      <c r="K17" s="7" t="s">
        <v>201</v>
      </c>
      <c r="L17" s="7" t="s">
        <v>202</v>
      </c>
      <c r="M17" s="12" t="s">
        <v>46</v>
      </c>
      <c r="N17" s="7" t="s">
        <v>142</v>
      </c>
      <c r="O17" s="7" t="s">
        <v>203</v>
      </c>
      <c r="P17" s="7" t="s">
        <v>204</v>
      </c>
      <c r="Q17" s="7" t="s">
        <v>205</v>
      </c>
    </row>
    <row r="18" customFormat="false" ht="15" hidden="false" customHeight="false" outlineLevel="0" collapsed="false">
      <c r="A18" s="7" t="n">
        <v>17</v>
      </c>
      <c r="B18" s="7" t="s">
        <v>16</v>
      </c>
      <c r="C18" s="7" t="s">
        <v>206</v>
      </c>
      <c r="D18" s="7" t="s">
        <v>207</v>
      </c>
      <c r="E18" s="7" t="s">
        <v>208</v>
      </c>
      <c r="F18" s="7" t="s">
        <v>160</v>
      </c>
      <c r="G18" s="7" t="s">
        <v>40</v>
      </c>
      <c r="H18" s="7" t="s">
        <v>126</v>
      </c>
      <c r="I18" s="7" t="s">
        <v>42</v>
      </c>
      <c r="J18" s="7" t="s">
        <v>209</v>
      </c>
      <c r="K18" s="7" t="s">
        <v>210</v>
      </c>
      <c r="L18" s="7" t="s">
        <v>211</v>
      </c>
      <c r="M18" s="12" t="s">
        <v>46</v>
      </c>
      <c r="N18" s="7" t="s">
        <v>194</v>
      </c>
      <c r="O18" s="7" t="s">
        <v>212</v>
      </c>
      <c r="P18" s="7" t="s">
        <v>213</v>
      </c>
      <c r="Q18" s="7" t="s">
        <v>214</v>
      </c>
    </row>
    <row r="19" customFormat="false" ht="15" hidden="false" customHeight="false" outlineLevel="0" collapsed="false">
      <c r="A19" s="7" t="n">
        <v>18</v>
      </c>
      <c r="B19" s="7" t="s">
        <v>16</v>
      </c>
      <c r="C19" s="7" t="s">
        <v>215</v>
      </c>
      <c r="D19" s="7" t="s">
        <v>216</v>
      </c>
      <c r="E19" s="7" t="s">
        <v>217</v>
      </c>
      <c r="F19" s="7" t="s">
        <v>149</v>
      </c>
      <c r="G19" s="7" t="s">
        <v>40</v>
      </c>
      <c r="H19" s="7" t="s">
        <v>126</v>
      </c>
      <c r="I19" s="7" t="s">
        <v>42</v>
      </c>
      <c r="J19" s="7" t="s">
        <v>218</v>
      </c>
      <c r="K19" s="7" t="s">
        <v>219</v>
      </c>
      <c r="L19" s="7" t="s">
        <v>220</v>
      </c>
      <c r="M19" s="12" t="s">
        <v>46</v>
      </c>
      <c r="N19" s="7" t="s">
        <v>221</v>
      </c>
      <c r="O19" s="7" t="s">
        <v>222</v>
      </c>
      <c r="P19" s="7" t="s">
        <v>223</v>
      </c>
      <c r="Q19" s="7" t="s">
        <v>224</v>
      </c>
    </row>
    <row r="20" customFormat="false" ht="15" hidden="false" customHeight="false" outlineLevel="0" collapsed="false">
      <c r="A20" s="7" t="n">
        <v>19</v>
      </c>
      <c r="B20" s="7" t="s">
        <v>16</v>
      </c>
      <c r="C20" s="7" t="s">
        <v>225</v>
      </c>
      <c r="D20" s="7" t="s">
        <v>147</v>
      </c>
      <c r="E20" s="7" t="s">
        <v>226</v>
      </c>
      <c r="F20" s="7" t="s">
        <v>149</v>
      </c>
      <c r="G20" s="7" t="s">
        <v>40</v>
      </c>
      <c r="H20" s="7" t="s">
        <v>126</v>
      </c>
      <c r="I20" s="7" t="s">
        <v>227</v>
      </c>
      <c r="J20" s="7" t="s">
        <v>228</v>
      </c>
      <c r="K20" s="7" t="s">
        <v>229</v>
      </c>
      <c r="L20" s="7" t="s">
        <v>230</v>
      </c>
      <c r="M20" s="12" t="s">
        <v>46</v>
      </c>
      <c r="N20" s="7" t="s">
        <v>131</v>
      </c>
      <c r="O20" s="7" t="s">
        <v>154</v>
      </c>
      <c r="P20" s="7" t="s">
        <v>231</v>
      </c>
      <c r="Q20" s="7" t="s">
        <v>232</v>
      </c>
    </row>
    <row r="21" customFormat="false" ht="15" hidden="false" customHeight="false" outlineLevel="0" collapsed="false">
      <c r="A21" s="7" t="n">
        <v>20</v>
      </c>
      <c r="B21" s="7" t="s">
        <v>16</v>
      </c>
      <c r="C21" s="7" t="s">
        <v>233</v>
      </c>
      <c r="D21" s="7" t="s">
        <v>158</v>
      </c>
      <c r="E21" s="7" t="s">
        <v>234</v>
      </c>
      <c r="F21" s="7" t="s">
        <v>160</v>
      </c>
      <c r="G21" s="7" t="s">
        <v>40</v>
      </c>
      <c r="H21" s="7" t="s">
        <v>126</v>
      </c>
      <c r="I21" s="7" t="s">
        <v>42</v>
      </c>
      <c r="J21" s="7" t="s">
        <v>228</v>
      </c>
      <c r="K21" s="7" t="s">
        <v>235</v>
      </c>
      <c r="L21" s="7" t="s">
        <v>236</v>
      </c>
      <c r="M21" s="12" t="s">
        <v>46</v>
      </c>
      <c r="N21" s="7" t="s">
        <v>131</v>
      </c>
      <c r="O21" s="7" t="s">
        <v>163</v>
      </c>
      <c r="P21" s="7" t="s">
        <v>237</v>
      </c>
      <c r="Q21" s="7" t="s">
        <v>238</v>
      </c>
    </row>
    <row r="22" customFormat="false" ht="15" hidden="false" customHeight="false" outlineLevel="0" collapsed="false">
      <c r="A22" s="7" t="n">
        <v>21</v>
      </c>
      <c r="B22" s="7" t="s">
        <v>16</v>
      </c>
      <c r="C22" s="7" t="s">
        <v>239</v>
      </c>
      <c r="D22" s="7" t="s">
        <v>240</v>
      </c>
      <c r="E22" s="7" t="s">
        <v>241</v>
      </c>
      <c r="F22" s="7" t="s">
        <v>242</v>
      </c>
      <c r="G22" s="7" t="s">
        <v>243</v>
      </c>
      <c r="H22" s="7" t="s">
        <v>42</v>
      </c>
      <c r="I22" s="7" t="s">
        <v>42</v>
      </c>
      <c r="J22" s="7" t="s">
        <v>244</v>
      </c>
      <c r="K22" s="7" t="s">
        <v>245</v>
      </c>
      <c r="L22" s="7" t="s">
        <v>246</v>
      </c>
      <c r="M22" s="12" t="s">
        <v>46</v>
      </c>
      <c r="N22" s="7" t="s">
        <v>47</v>
      </c>
      <c r="O22" s="7" t="s">
        <v>247</v>
      </c>
      <c r="P22" s="7" t="s">
        <v>248</v>
      </c>
      <c r="Q22" s="7" t="s">
        <v>249</v>
      </c>
    </row>
    <row r="23" customFormat="false" ht="15" hidden="false" customHeight="false" outlineLevel="0" collapsed="false">
      <c r="A23" s="7" t="n">
        <v>22</v>
      </c>
      <c r="B23" s="7" t="s">
        <v>16</v>
      </c>
      <c r="C23" s="7" t="s">
        <v>250</v>
      </c>
      <c r="D23" s="7" t="s">
        <v>251</v>
      </c>
      <c r="E23" s="7" t="s">
        <v>252</v>
      </c>
      <c r="F23" s="7" t="s">
        <v>253</v>
      </c>
      <c r="G23" s="7" t="s">
        <v>40</v>
      </c>
      <c r="H23" s="7" t="s">
        <v>126</v>
      </c>
      <c r="I23" s="7" t="s">
        <v>42</v>
      </c>
      <c r="J23" s="7" t="s">
        <v>151</v>
      </c>
      <c r="K23" s="7" t="s">
        <v>254</v>
      </c>
      <c r="L23" s="7" t="s">
        <v>255</v>
      </c>
      <c r="M23" s="12" t="s">
        <v>46</v>
      </c>
      <c r="N23" s="7" t="s">
        <v>47</v>
      </c>
      <c r="O23" s="7" t="s">
        <v>256</v>
      </c>
      <c r="P23" s="7" t="s">
        <v>257</v>
      </c>
      <c r="Q23" s="7" t="s">
        <v>258</v>
      </c>
    </row>
    <row r="24" customFormat="false" ht="15" hidden="false" customHeight="false" outlineLevel="0" collapsed="false">
      <c r="A24" s="7" t="n">
        <v>23</v>
      </c>
      <c r="B24" s="7" t="s">
        <v>16</v>
      </c>
      <c r="C24" s="7" t="s">
        <v>259</v>
      </c>
      <c r="D24" s="7" t="s">
        <v>260</v>
      </c>
      <c r="E24" s="7" t="s">
        <v>261</v>
      </c>
      <c r="F24" s="7" t="s">
        <v>262</v>
      </c>
      <c r="G24" s="7" t="s">
        <v>40</v>
      </c>
      <c r="H24" s="7" t="s">
        <v>126</v>
      </c>
      <c r="I24" s="7" t="s">
        <v>263</v>
      </c>
      <c r="J24" s="7" t="s">
        <v>151</v>
      </c>
      <c r="K24" s="7" t="s">
        <v>264</v>
      </c>
      <c r="L24" s="7" t="s">
        <v>265</v>
      </c>
      <c r="M24" s="12" t="s">
        <v>46</v>
      </c>
      <c r="N24" s="7" t="s">
        <v>194</v>
      </c>
      <c r="O24" s="7" t="s">
        <v>266</v>
      </c>
      <c r="P24" s="7" t="s">
        <v>267</v>
      </c>
      <c r="Q24" s="7" t="s">
        <v>268</v>
      </c>
    </row>
    <row r="25" customFormat="false" ht="15" hidden="false" customHeight="false" outlineLevel="0" collapsed="false">
      <c r="A25" s="7" t="n">
        <v>24</v>
      </c>
      <c r="B25" s="7" t="s">
        <v>16</v>
      </c>
      <c r="C25" s="7" t="s">
        <v>269</v>
      </c>
      <c r="D25" s="7" t="s">
        <v>270</v>
      </c>
      <c r="E25" s="7" t="s">
        <v>271</v>
      </c>
      <c r="F25" s="7" t="s">
        <v>272</v>
      </c>
      <c r="G25" s="7" t="s">
        <v>40</v>
      </c>
      <c r="H25" s="7" t="s">
        <v>126</v>
      </c>
      <c r="I25" s="7" t="s">
        <v>42</v>
      </c>
      <c r="J25" s="7" t="s">
        <v>228</v>
      </c>
      <c r="K25" s="7" t="s">
        <v>273</v>
      </c>
      <c r="L25" s="7" t="s">
        <v>274</v>
      </c>
      <c r="M25" s="12" t="s">
        <v>46</v>
      </c>
      <c r="N25" s="7" t="s">
        <v>118</v>
      </c>
      <c r="O25" s="7" t="s">
        <v>275</v>
      </c>
      <c r="P25" s="7" t="s">
        <v>276</v>
      </c>
      <c r="Q25" s="7" t="s">
        <v>277</v>
      </c>
    </row>
    <row r="26" customFormat="false" ht="15" hidden="false" customHeight="false" outlineLevel="0" collapsed="false">
      <c r="A26" s="7" t="n">
        <v>25</v>
      </c>
      <c r="B26" s="7" t="s">
        <v>16</v>
      </c>
      <c r="C26" s="7" t="s">
        <v>278</v>
      </c>
      <c r="D26" s="7" t="s">
        <v>279</v>
      </c>
      <c r="E26" s="7" t="s">
        <v>280</v>
      </c>
      <c r="F26" s="7" t="s">
        <v>40</v>
      </c>
      <c r="G26" s="7" t="s">
        <v>40</v>
      </c>
      <c r="H26" s="7" t="s">
        <v>126</v>
      </c>
      <c r="I26" s="7" t="s">
        <v>42</v>
      </c>
      <c r="J26" s="7" t="s">
        <v>281</v>
      </c>
      <c r="K26" s="7" t="s">
        <v>282</v>
      </c>
      <c r="L26" s="7" t="s">
        <v>283</v>
      </c>
      <c r="M26" s="14" t="s">
        <v>284</v>
      </c>
      <c r="N26" s="7" t="s">
        <v>285</v>
      </c>
      <c r="O26" s="7" t="s">
        <v>286</v>
      </c>
      <c r="P26" s="7" t="s">
        <v>287</v>
      </c>
      <c r="Q26" s="7" t="s">
        <v>288</v>
      </c>
    </row>
  </sheetData>
  <autoFilter ref="A1:Q2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2026-09-28T06:29:38Z</dcterms:created>
  <dc:creator>openpyxl</dc:creator>
  <dc:description/>
  <dc:language>en-US</dc:language>
  <cp:lastModifiedBy/>
  <dcterms:modified xsi:type="dcterms:W3CDTF">2026-09-28T06:29:38Z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