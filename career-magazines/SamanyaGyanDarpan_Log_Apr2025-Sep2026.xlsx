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<sst xmlns="http://schemas.openxmlformats.org/spreadsheetml/2006/main" count="388" uniqueCount="263">
  <si>
    <t xml:space="preserve">Samanya Gyan Darpan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</si>
  <si>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</si>
  <si>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</si>
  <si>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</si>
  <si>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</si>
  <si>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</si>
  <si>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</si>
  <si>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</si>
  <si>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</si>
  <si>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</si>
  <si>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</si>
  <si>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</si>
  <si>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</si>
  <si>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</si>
  <si>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</si>
  <si>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</si>
  <si>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</si>
  <si>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</si>
  <si>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</si>
  <si>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</si>
  <si>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</si>
  <si>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</si>
  <si>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</si>
  <si>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</si>
  <si>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</si>
  <si>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</si>
  <si>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</si>
  <si>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</si>
  <si>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</si>
  <si>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</si>
  <si>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</si>
  <si>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</si>
  <si>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</si>
  <si>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</si>
  <si>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</si>
  <si>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</si>
  <si>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PM YASASVI Scholarship 2025-26 (Top Class Education in Schools for OBC, EBC and DNT students)</t>
  </si>
  <si>
    <t xml:space="preserve">Ministry of Social Justice and Empowerment, Government of India</t>
  </si>
  <si>
    <t xml:space="preserve">Classes 9-12 (entry at Class 9 and Class 11)</t>
  </si>
  <si>
    <t xml:space="preserve">OBC, EBC, DNT/S-NT</t>
  </si>
  <si>
    <t xml:space="preserve">All (boys and girls)</t>
  </si>
  <si>
    <t xml:space="preserve">Family income up to Rs 2.5 lakh per annum</t>
  </si>
  <si>
    <t xml:space="preserve">NA</t>
  </si>
  <si>
    <t xml:space="preserve">Annual (2025-26)</t>
  </si>
  <si>
    <t xml:space="preserve">Rs 75,000 per year for Class 9-10; Rs 1,25,000 per year for Class 11-12</t>
  </si>
  <si>
    <t xml:space="preserve">Applications 2 June to 31 August 2025 on NSP (later verification deadlines in September 2025); around 15,000 scholarships</t>
  </si>
  <si>
    <t xml:space="preserve">Closed</t>
  </si>
  <si>
    <t xml:space="preserve">2025-07;2025-08</t>
  </si>
  <si>
    <t xml:space="preserve">https://scholarships.gov.in</t>
  </si>
  <si>
    <t xml:space="preserve">https://www.aubsp.com/pm-yasasvi-scholarship/</t>
  </si>
  <si>
    <t xml:space="preserve">YASASVI Entrance Test (YET) was discontinued for 2025; selection merit-based on previous class marks. Not directly verified in a specific issue; included as a well-known central scholarship squarely within the magazine's normal coverage, with facts verified against notification sources.</t>
  </si>
  <si>
    <t xml:space="preserve">INSPIRE Scholarship for Higher Education (SHE) 2025</t>
  </si>
  <si>
    <t xml:space="preserve">Department of Science and Technology, Ministry of Science and Technology</t>
  </si>
  <si>
    <t xml:space="preserve">Basic and Natural Sciences at BSc/BS/Int MSc/MS level (UG and PG)</t>
  </si>
  <si>
    <t xml:space="preserve">Open to all categories on merit</t>
  </si>
  <si>
    <t xml:space="preserve">All</t>
  </si>
  <si>
    <t xml:space="preserve">17-22 years</t>
  </si>
  <si>
    <t xml:space="preserve">Annual</t>
  </si>
  <si>
    <t xml:space="preserve">Rs 80,000 per year (Rs 5,000 per month) plus Rs 20,000 per year summer mentorship grant</t>
  </si>
  <si>
    <t xml:space="preserve">Applications typically open September to November 2025 via online-inspire.gov.in (2024 call ran 1 September to 15 October)</t>
  </si>
  <si>
    <t xml:space="preserve">2025-09;2025-10</t>
  </si>
  <si>
    <t xml:space="preserve">https://online-inspire.gov.in</t>
  </si>
  <si>
    <t xml:space="preserve">https://www.sarvgyan.com/articles/kvpy-inspire-2025</t>
  </si>
  <si>
    <t xml:space="preserve">About 10,000-12,000 scholarships annually; eligibility includes top 1 percent in Class 12 boards or top 10,000 JEE Advanced/NEET ranks, IISER/NISER/DAE-CBS students, Olympiad medallists. Not directly verified in an issue; well-known DST scheme in the magazine's normal coverage.</t>
  </si>
  <si>
    <t xml:space="preserve">National Means-cum-Merit Scholarship (NMMS) 2025-26</t>
  </si>
  <si>
    <t xml:space="preserve">Ministry of Education, implemented by state SCERTs</t>
  </si>
  <si>
    <t xml:space="preserve">Selected from Class 8; scholarship paid Class 9 to 12</t>
  </si>
  <si>
    <t xml:space="preserve">Open to all (SC/ST relaxation in eligibility marks)</t>
  </si>
  <si>
    <t xml:space="preserve">Family income up to Rs 3.5 lakh per annum</t>
  </si>
  <si>
    <t xml:space="preserve">Class 8 students</t>
  </si>
  <si>
    <t xml:space="preserve">Annual (state-level selection test)</t>
  </si>
  <si>
    <t xml:space="preserve">Rs 12,000 per annum</t>
  </si>
  <si>
    <t xml:space="preserve">State application windows roughly August to October 2025; state exams held 2, 16 or 30 November 2025 depending on state (Chandigarh 30 Nov, HP 2 Nov, Uttarakhand 16 Nov)</t>
  </si>
  <si>
    <t xml:space="preserve">State SCERT portals, e.g. http://scertchd.edu.in</t>
  </si>
  <si>
    <t xml:space="preserve">https://scertchd.edu.in/sie/wp-content/uploads/2025/08/Guidelines-For-NMMSS-Examination-2025.pdf</t>
  </si>
  <si>
    <t xml:space="preserve">For government, government-aided and local body school students; 1,00,000 scholarships nationally. Not directly verified in an issue; included as a standard school-scholarship notification in the magazine's coverage area.</t>
  </si>
  <si>
    <t xml:space="preserve">UP Scholarship 2025-26 (Pre-Matric, Post-Matric and Dashmottar)</t>
  </si>
  <si>
    <t xml:space="preserve">Social Welfare Department, Government of Uttar Pradesh</t>
  </si>
  <si>
    <t xml:space="preserve">Class 9 and 10 (Pre-Matric); Class 11 and 12 (Post-Matric Inter); UG, PG, diploma, ITI, PhD (Dashmottar)</t>
  </si>
  <si>
    <t xml:space="preserve">SC, ST, OBC, General and Minority students</t>
  </si>
  <si>
    <t xml:space="preserve">Varies by scheme and category (state norms apply)</t>
  </si>
  <si>
    <t xml:space="preserve">Course-fee reimbursement and maintenance grant as per UP state norms, paid via PFMS</t>
  </si>
  <si>
    <t xml:space="preserve">Pre-Matric and Post-Matric Inter: 2 July to 30 October 2025 (extended to 6 December 2025); Dashmottar and outside-state: 10 July to 20 December 2025</t>
  </si>
  <si>
    <t xml:space="preserve">2025-08;2025-09</t>
  </si>
  <si>
    <t xml:space="preserve">https://scholarship.up.gov.in</t>
  </si>
  <si>
    <t xml:space="preserve">https://articles.findmycollege.com/scholarships-last-date-for-up-scholarship-key-deadlines-updates/</t>
  </si>
  <si>
    <t xml:space="preserve">Uttar Pradesh state scholarship through OTR-based portal; heavily used by the magazine's core Hindi-belt readership. Not directly verified in an issue; dates verified against notification coverage.</t>
  </si>
  <si>
    <t xml:space="preserve">AICTE Pragati Scholarship Scheme for Girl Students 2025-26</t>
  </si>
  <si>
    <t xml:space="preserve">All India Council for Technical Education, Ministry of Education</t>
  </si>
  <si>
    <t xml:space="preserve">First year degree or diploma (also lateral entry) at AICTE-approved institutions</t>
  </si>
  <si>
    <t xml:space="preserve">Open to all categories</t>
  </si>
  <si>
    <t xml:space="preserve">Female (up to two girls per family)</t>
  </si>
  <si>
    <t xml:space="preserve">Family income up to Rs 8 lakh per annum</t>
  </si>
  <si>
    <t xml:space="preserve">Rs 50,000 per year till course completion; about 5,000 degree and 5,000 diploma slots</t>
  </si>
  <si>
    <t xml:space="preserve">Portal open June 2025; last date 31 October 2025, later extended to 15 December 2025 on NSP</t>
  </si>
  <si>
    <t xml:space="preserve">2025-07;2025-10</t>
  </si>
  <si>
    <t xml:space="preserve">https://www.aimsr.edu.in/wp-content/uploads/2025/08/AICTE-Pragati-Scholarship-for-Girls-2025-26.pdf</t>
  </si>
  <si>
    <t xml:space="preserve">Technical education scholarship for girls; institute and state verification deadlines followed. Not directly verified in an issue; well-known AICTE scheme within the magazine's coverage.</t>
  </si>
  <si>
    <t xml:space="preserve">AICTE Saksham Scholarship Scheme for Specially-Abled Students 2025-26</t>
  </si>
  <si>
    <t xml:space="preserve">Open to all categories; disability of 40 percent or more required</t>
  </si>
  <si>
    <t xml:space="preserve">All (specially-abled students)</t>
  </si>
  <si>
    <t xml:space="preserve">Family income up to Rs 8 lakh per annum as per AICTE scheme guidelines</t>
  </si>
  <si>
    <t xml:space="preserve">Up to Rs 50,000 per annum depending on degree or diploma level</t>
  </si>
  <si>
    <t xml:space="preserve">Portal open June 2025; last date 31 October 2025 (INO verification till 15 November, SNO till 30 November 2025)</t>
  </si>
  <si>
    <t xml:space="preserve">https://www.spnrecararia.ac.in/NoticeImages/scholarship.pdf</t>
  </si>
  <si>
    <t xml:space="preserve">Technical education scholarship for differently-abled students. Not directly verified in an issue; facts taken from the AICTE advertisement of 18 June 2025.</t>
  </si>
  <si>
    <t xml:space="preserve">AICTE Swanath Scholarship Scheme 2025-26</t>
  </si>
  <si>
    <t xml:space="preserve">Degree or diploma at AICTE-approved institutions; 1st to final year</t>
  </si>
  <si>
    <t xml:space="preserve">All (orphans; wards of armed forces personnel killed in action; wards of parents affected by COVID-19)</t>
  </si>
  <si>
    <t xml:space="preserve">Family income up to Rs 8 lakh per annum as per scheme guidelines</t>
  </si>
  <si>
    <t xml:space="preserve">Up to Rs 50,000 per annum</t>
  </si>
  <si>
    <t xml:space="preserve">Portal open June 2025; last date 31 October 2025 (extended verification into November-December 2025)</t>
  </si>
  <si>
    <t xml:space="preserve">Advertised together with Pragati and Saksham in the AICTE notice dated 18 June 2025. Not directly verified in an issue; within the magazine's normal scholarship coverage.</t>
  </si>
  <si>
    <t xml:space="preserve">AICTE Pragati, Saksham and Swanath Scholarship Schemes 2026-27</t>
  </si>
  <si>
    <t xml:space="preserve">First year degree or diploma at AICTE-approved institutions (fresh and renewal)</t>
  </si>
  <si>
    <t xml:space="preserve">Open to all categories (scheme-specific conditions apply)</t>
  </si>
  <si>
    <t xml:space="preserve">Pragati for girls; Saksham for specially-abled; Swanath for orphans and wards of affected families</t>
  </si>
  <si>
    <t xml:space="preserve">Family income up to Rs 8 lakh per annum (per scheme guidelines)</t>
  </si>
  <si>
    <t xml:space="preserve">Annual (2026-27)</t>
  </si>
  <si>
    <t xml:space="preserve">Rs 50,000 per annum per scholar</t>
  </si>
  <si>
    <t xml:space="preserve">Scheme open from 1 June 2026; student applications open till 31 October 2026; verifications till 30 November 2026</t>
  </si>
  <si>
    <t xml:space="preserve">Open now</t>
  </si>
  <si>
    <t xml:space="preserve">2026-06;2026-07</t>
  </si>
  <si>
    <t xml:space="preserve">https://scholarships.gov.in/All-Scholarships</t>
  </si>
  <si>
    <t xml:space="preserve">2026-27 cycle of the three AICTE student-development schemes on the National Scholarship Portal; open as of 28 September 2026. Not directly verified in an issue; within normal coverage.</t>
  </si>
  <si>
    <t xml:space="preserve">Begum Hazrat Mahal National Scholarship 2025-26</t>
  </si>
  <si>
    <t xml:space="preserve">Maulana Azad Education Foundation, Ministry of Minority Affairs</t>
  </si>
  <si>
    <t xml:space="preserve">Classes 9 to 12 in recognised schools</t>
  </si>
  <si>
    <t xml:space="preserve">Minority communities (Muslim, Christian, Sikh, Buddhist, Jain, Parsi)</t>
  </si>
  <si>
    <t xml:space="preserve">Female only</t>
  </si>
  <si>
    <t xml:space="preserve">Family income up to Rs 2 lakh per annum</t>
  </si>
  <si>
    <t xml:space="preserve">Annual (fresh application every class)</t>
  </si>
  <si>
    <t xml:space="preserve">Rs 5,000 per year for Class 9-10; Rs 6,000 per year for Class 11-12</t>
  </si>
  <si>
    <t xml:space="preserve">Applications via NSP during the 2025-26 window (portal opened mid-2025; scheme deadline commonly around September-October 2025 as per NSP timeline)</t>
  </si>
  <si>
    <t xml:space="preserve">https://scholarships.gov.in/public/schemeGuidelines/1053_G.pdf</t>
  </si>
  <si>
    <t xml:space="preserve">Earlier known as Maulana Azad National Scholarship; minimum 50 percent marks in previous class; no renewal, apply afresh each class. Exact 2025-26 deadline varies on NSP; not directly verified in an issue.</t>
  </si>
  <si>
    <t xml:space="preserve">Prime Minister's Research Fellowship (PMRF) - May 2026 cycle</t>
  </si>
  <si>
    <t xml:space="preserve">Ministry of Education, implemented at PMRF Granting Institutes (IITs, IISc, IISERs, top NITs/CFTIs)</t>
  </si>
  <si>
    <t xml:space="preserve">PhD programmes in engineering, science and allied areas</t>
  </si>
  <si>
    <t xml:space="preserve">Twice a year (May and December cycles)</t>
  </si>
  <si>
    <t xml:space="preserve">Rs 70,000-80,000 per month depending on year, plus Rs 2 lakh per year contingency grant; duration up to 5 years</t>
  </si>
  <si>
    <t xml:space="preserve">Nominations from early March 2026; application submission through April-May 2026; results around July 2026</t>
  </si>
  <si>
    <t xml:space="preserve">2026-03;2026-04</t>
  </si>
  <si>
    <t xml:space="preserve">https://pmrf.in</t>
  </si>
  <si>
    <t xml:space="preserve">https://thefellowships.in/pmrf/</t>
  </si>
  <si>
    <t xml:space="preserve">Direct and lateral entry routes; December 2026 cycle expected to open around early October 2026 (upcoming as of 28 September 2026). Not directly verified in an issue; well-known fellowship within coverage scope.</t>
  </si>
  <si>
    <t xml:space="preserve">PM Internship Scheme (PMIS) Pilot Round 3</t>
  </si>
  <si>
    <t xml:space="preserve">Ministry of Corporate Affairs, Government of India</t>
  </si>
  <si>
    <t xml:space="preserve">Youth with minimum Class 10 qualification; eligibility expanded in April 2026 to final-year UG and PG students</t>
  </si>
  <si>
    <t xml:space="preserve">Family income up to Rs 8 lakh per annum; no family member in permanent government job</t>
  </si>
  <si>
    <t xml:space="preserve">18-25 years (earlier rounds 21-24 years)</t>
  </si>
  <si>
    <t xml:space="preserve">Pilot project rounds; pilot extended till December 2026</t>
  </si>
  <si>
    <t xml:space="preserve">12-month paid internship in top companies; minimum financial assistance of Rs 9,000 per month (earlier structure Rs 5,000 per month stipend plus Rs 6,000 one-time grant)</t>
  </si>
  <si>
    <t xml:space="preserve">Round 3 began 20 March 2026 with revised guidelines; companies post internships on a rolling basis, applications accepted while a listing's window is open</t>
  </si>
  <si>
    <t xml:space="preserve">Rolling</t>
  </si>
  <si>
    <t xml:space="preserve">2026-04</t>
  </si>
  <si>
    <t xml:space="preserve">https://pminternship.mca.gov.in</t>
  </si>
  <si>
    <t xml:space="preserve">https://www.thehindubusinessline.com/news/education/final-year-ugpg-students-can-now-apply-under-pm-internship-scheme/article70893021.ece</t>
  </si>
  <si>
    <t xml:space="preserve">Round 2 of the pilot closed 31 March 2025; over 16,060 interns had joined rounds 1 and 2 by March 2026. Eligible employer pool widened to top 2,000 CSR companies. Not directly verified in an issue; major internship news within the magazine's coverage.</t>
  </si>
  <si>
    <t xml:space="preserve">NITI Aayog Internship Scheme</t>
  </si>
  <si>
    <t xml:space="preserve">NITI Aayog, Government of India</t>
  </si>
  <si>
    <t xml:space="preserve">Undergraduate and postgraduate students and research scholars in recognised universities in India and abroad</t>
  </si>
  <si>
    <t xml:space="preserve">Rolling monthly intake (application window 1st-10th of every month)</t>
  </si>
  <si>
    <t xml:space="preserve">Unpaid internship with certificate; work with NITI verticals, divisions and cells</t>
  </si>
  <si>
    <t xml:space="preserve">Online application link open from the 1st to the 10th of every month on the NITI portal</t>
  </si>
  <si>
    <t xml:space="preserve">2025-05</t>
  </si>
  <si>
    <t xml:space="preserve">https://niti.gov.in/internship</t>
  </si>
  <si>
    <t xml:space="preserve">Recurring scheme, available throughout the April 2025 to September 2026 window; the magazine periodically carries such internship notices. Exact issue placement not directly verified.</t>
  </si>
  <si>
    <t xml:space="preserve">GATE 2026 (Graduate Aptitude Test in Engineering)</t>
  </si>
  <si>
    <t xml:space="preserve">IIT Guwahati (organising institute) on behalf of IISc and IITs, Ministry of Education</t>
  </si>
  <si>
    <t xml:space="preserve">Admission to Master's, direct doctoral and doctoral programmes in engineering, technology, science, architecture, humanities</t>
  </si>
  <si>
    <t xml:space="preserve">No age limit</t>
  </si>
  <si>
    <t xml:space="preserve">Once a year (30 test papers; computer based test)</t>
  </si>
  <si>
    <t xml:space="preserve">Application fee Rs 1,000 (female and SC/ST/PwD) to Rs 2,000 (others) per paper in regular period; qualifying score gives access to MoE-supported PG admission with possible financial assistance</t>
  </si>
  <si>
    <t xml:space="preserve">Registration 28 August to 7 October 2025 (regular; extended with late fee till 13 October 2025); exams 7, 8, 14 and 15 February 2026; results 19 March 2026</t>
  </si>
  <si>
    <t xml:space="preserve">https://gate2026.iitg.ac.in</t>
  </si>
  <si>
    <t xml:space="preserve">https://gate2026.iitg.ac.in/important-dates.html</t>
  </si>
  <si>
    <t xml:space="preserve">New Energy Science (XE-I) sectional paper introduced; GATE scores also used by some PSUs for recruitment (recruitment not logged here). Issue placement not directly verified; GATE notifications are a staple of the magazine's exam-notice coverage.</t>
  </si>
  <si>
    <t xml:space="preserve">GATE 2027 (Graduate Aptitude Test in Engineering)</t>
  </si>
  <si>
    <t xml:space="preserve">IIT Madras (organising institute) on behalf of IISc and IITs, Ministry of Education</t>
  </si>
  <si>
    <t xml:space="preserve">Admission to Master's and doctoral programmes in engineering, technology, science, commerce, arts, architecture, humanities</t>
  </si>
  <si>
    <t xml:space="preserve">No age limit (per GATE norms)</t>
  </si>
  <si>
    <t xml:space="preserve">Once a year (30 test papers)</t>
  </si>
  <si>
    <t xml:space="preserve">Application fee per GATE 2027 fee schedule on the portal; qualifying score valid 3 years for PG admission with possible financial assistance</t>
  </si>
  <si>
    <t xml:space="preserve">GOAPS registration portal opened 27 September 2026; regular registration closes 5 October 2026; exams 6-7, 13-14 and 20-21 February 2027; results 19 March 2027</t>
  </si>
  <si>
    <t xml:space="preserve">2026-09</t>
  </si>
  <si>
    <t xml:space="preserve">https://gate2027.iitm.ac.in</t>
  </si>
  <si>
    <t xml:space="preserve">https://gate2027.iitm.ac.in/</t>
  </si>
  <si>
    <t xml:space="preserve">DigiLocker-based registration mandatory for Indian nationals; open as of 28 September 2026. Issue placement not directly verified; new GATE notification falls squarely in the magazine's coverage.</t>
  </si>
  <si>
    <t xml:space="preserve">CUET UG 2026 (Common University Entrance Test - Undergraduate)</t>
  </si>
  <si>
    <t xml:space="preserve">National Testing Agency, Ministry of Education</t>
  </si>
  <si>
    <t xml:space="preserve">Admission to undergraduate programmes in central, state, deemed and private participating universities</t>
  </si>
  <si>
    <t xml:space="preserve">Once a year</t>
  </si>
  <si>
    <t xml:space="preserve">Application fee as per NTA information bulletin; single test for admission to participating universities across the country</t>
  </si>
  <si>
    <t xml:space="preserve">Applications 3 to 30 January 2026 (with a later re-opening window announced by NTA); exams 11-31 May 2026 (tentative) with rescheduled papers on 31 May and 6-7 June 2026 after the Eid-ul-Azha postponement; results declared later in 2026</t>
  </si>
  <si>
    <t xml:space="preserve">2026-01;2026-02</t>
  </si>
  <si>
    <t xml:space="preserve">https://cuet.nta.nic.in</t>
  </si>
  <si>
    <t xml:space="preserve">https://cdnbbsr.s3waas.gov.in/s3d1a21da7bca4abff8b0b61b87597de73/uploads/2026/01/202601031633478370.pdf</t>
  </si>
  <si>
    <t xml:space="preserve">Computer based test; CUET toppers and result notices were widely covered in 2026. Not directly verified in an issue; CUET notifications are standard magazine coverage.</t>
  </si>
  <si>
    <t xml:space="preserve">CUET PG 2026 (Common University Entrance Test - Postgraduate)</t>
  </si>
  <si>
    <t xml:space="preserve">Admission to postgraduate programmes in participating central, state, deemed and private universities</t>
  </si>
  <si>
    <t xml:space="preserve">Application fee as per NTA information bulletin; computer based test for PG admission across participating universities</t>
  </si>
  <si>
    <t xml:space="preserve">Registration 14 December 2025 to 20 January 2026 (fee payment to 14 January with extensions); correction window 18-20 January 2026; exams 6 to 27 March 2026; result declared later in 2026</t>
  </si>
  <si>
    <t xml:space="preserve">2025-12;2026-01</t>
  </si>
  <si>
    <t xml:space="preserve">https://exams.nta.nic.in/cuet-pg/</t>
  </si>
  <si>
    <t xml:space="preserve">https://cdnbbsr.s3waas.gov.in/s388a839f2f6f1427879fc33ee4acf4f66/uploads/2025/12/202512241753395117.pdf</t>
  </si>
  <si>
    <t xml:space="preserve">Exam held across multiple subject-wise dates in March 2026. Not directly verified in an issue; within the magazine's normal entrance-exam coverage.</t>
  </si>
  <si>
    <t xml:space="preserve">JEE Main 2026 (Joint Entrance Examination Main, Sessions 1 and 2)</t>
  </si>
  <si>
    <t xml:space="preserve">Admission to BE, BTech, BArch and BPlanning programmes (NITs, IIITs, CFTIs and others)</t>
  </si>
  <si>
    <t xml:space="preserve">Twice a year (January and April sessions)</t>
  </si>
  <si>
    <t xml:space="preserve">Application fee as per NTA bulletin; scores used for engineering admission and as JEE Advanced qualifier</t>
  </si>
  <si>
    <t xml:space="preserve">Session 1 applications 31 October to 27 November 2025, exams 21-30 January 2026; Session 2 applications from late January 2026, exams 2-9 April 2026</t>
  </si>
  <si>
    <t xml:space="preserve">2025-11;2025-12</t>
  </si>
  <si>
    <t xml:space="preserve">https://jeemain.nta.nic.in</t>
  </si>
  <si>
    <t xml:space="preserve">https://www.timesnownews.com/education/jee-main-2026-session-1-registration-link-deadline-exam-date-admit-card-correction-window-jeemain-nta-nic-in-article-153213608</t>
  </si>
  <si>
    <t xml:space="preserve">Two-session computer based test. Not directly verified in an issue; JEE notifications are core exam-notice coverage for the magazine.</t>
  </si>
  <si>
    <t xml:space="preserve">NEET UG 2026 (National Eligibility cum Entrance Test - Undergraduate)</t>
  </si>
  <si>
    <t xml:space="preserve">National Testing Agency, Ministry of Education and National Medical Commission</t>
  </si>
  <si>
    <t xml:space="preserve">Admission to MBBS, BDS, AYUSH (BAMS, BUMS, BSMS, BHMS), BVSc and AH, and BSc Nursing (MNS) courses</t>
  </si>
  <si>
    <t xml:space="preserve">Application fee for centres in India: General Rs 1,700; General-EWS/OBC-NCL Rs 1,600; SC/ST/PwBD/third gender Rs 1,000 (plus charges)</t>
  </si>
  <si>
    <t xml:space="preserve">Applications 8 February to 8 March 2026 (last date extended by NTA); correction window 10-12 March 2026; exam 3 May 2026 (2-5 PM, pen and paper)</t>
  </si>
  <si>
    <t xml:space="preserve">2026-02</t>
  </si>
  <si>
    <t xml:space="preserve">https://neet.nta.nic.in</t>
  </si>
  <si>
    <t xml:space="preserve">https://neet.nta.nic.in/</t>
  </si>
  <si>
    <t xml:space="preserve">Conducted in 13 languages; fee refund and answer key notices followed in mid-2026. Not directly verified in an issue; NEET is among the magazine's most regular entrance-exam items.</t>
  </si>
  <si>
    <t xml:space="preserve">CLAT 2026 (Common Law Admission Test)</t>
  </si>
  <si>
    <t xml:space="preserve">Consortium of National Law Universities</t>
  </si>
  <si>
    <t xml:space="preserve">Admission to 5-year integrated LLB (Hons) and one-year LLM programmes at 25 National Law Universities</t>
  </si>
  <si>
    <t xml:space="preserve">Once a year (offline exam)</t>
  </si>
  <si>
    <t xml:space="preserve">Application fee as per Consortium schedule; common test for NLUs across the country</t>
  </si>
  <si>
    <t xml:space="preserve">Applications 1 August 2025 to 31 October 2025, extended to 7 November 2025; exam 7 December 2025 (2-4 PM; extra 40 minutes for PwD candidates)</t>
  </si>
  <si>
    <t xml:space="preserve">https://consortiumofnlus.ac.in</t>
  </si>
  <si>
    <t xml:space="preserve">https://consortiumofnlus.ac.in/clat-2026/ug-instructions.html</t>
  </si>
  <si>
    <t xml:space="preserve">Law entrance exam organised by the Consortium of NLUs. Not directly verified in an issue; career-exam notices of this kind fall within the magazine's normal coverage.</t>
  </si>
  <si>
    <t xml:space="preserve">UP B.Ed Joint Entrance Examination (JEE) 2026</t>
  </si>
  <si>
    <t xml:space="preserve">Bundelkhand University, Jhansi (for universities across Uttar Pradesh)</t>
  </si>
  <si>
    <t xml:space="preserve">Admission to the two-year B.Ed programme in UP universities and colleges</t>
  </si>
  <si>
    <t xml:space="preserve">Minimum 15 years; no upper age limit</t>
  </si>
  <si>
    <t xml:space="preserve">Application fee General/OBC/EWS Rs 1,400; SC/ST Rs 700; offline then CBT-mode entrance test as notified</t>
  </si>
  <si>
    <t xml:space="preserve">Registration 10 February to 30 April 2026 (with late fee 1-5 May 2026); correction window 6-10 May 2026; exam 31 May 2026; result June 2026; counselling from July 2026</t>
  </si>
  <si>
    <t xml:space="preserve">2026-02;2026-03</t>
  </si>
  <si>
    <t xml:space="preserve">https://bujhansi.ac.in</t>
  </si>
  <si>
    <t xml:space="preserve">https://university.careers360.com/articles/up-bed-2026</t>
  </si>
  <si>
    <t xml:space="preserve">Conducted for 19 participating UP universities; eligibility Bachelor's or Master's degree with 50 percent marks (55 percent for engineering graduates). Not directly verified in an issue; UP B.Ed JEE is standard coverage for this Hindi-belt magazine.</t>
  </si>
  <si>
    <t xml:space="preserve">JEECUP 2026 - UP Joint Entrance Examination Polytechnic (UPJEE-P)</t>
  </si>
  <si>
    <t xml:space="preserve">Joint Entrance Examination Council, Uttar Pradesh</t>
  </si>
  <si>
    <t xml:space="preserve">Admission to diploma and polytechnic courses (engineering, pharmacy, technology and other groups A to K8) in UP government and private institutions</t>
  </si>
  <si>
    <t xml:space="preserve">Once a year (computer based test)</t>
  </si>
  <si>
    <t xml:space="preserve">Application fee as per JEECUP notification; 100 MCQs from Physics, Chemistry and Maths with negative marking</t>
  </si>
  <si>
    <t xml:space="preserve">Registration 15 January 2026, deadline extended from 30 April to 17 May 2026; exams revised to 2-9 June 2026; counselling with seat allotment rounds through July 2026</t>
  </si>
  <si>
    <t xml:space="preserve">https://jeecup.admissions.nic.in</t>
  </si>
  <si>
    <t xml:space="preserve">https://indianexpress.com/article/education/jeecup-2026-exam-schedule-revised-jeecup-admissions-nic-in-10686879/</t>
  </si>
  <si>
    <t xml:space="preserve">UP's state-level polytechnic entrance exam; admit cards released 25 May 2026. Not directly verified in an issue; a routine admission notification for the magazine's UP-centric readership.</t>
  </si>
  <si>
    <t xml:space="preserve">IGNOU July 2026 Admission Cycle (ODL and Online programmes)</t>
  </si>
  <si>
    <t xml:space="preserve">Indira Gandhi National Open University, New Delhi</t>
  </si>
  <si>
    <t xml:space="preserve">Fresh admission to certificate, diploma, degree (UG), PG and online programmes in open and distance mode</t>
  </si>
  <si>
    <t xml:space="preserve">Twice a year (January and July cycles)</t>
  </si>
  <si>
    <t xml:space="preserve">Programme-wise fee as per IGNOU prospectus; no entrance test for most programmes</t>
  </si>
  <si>
    <t xml:space="preserve">July 2026 cycle applications with deadline extended till 30 September 2026 (all courses except certificate and semester-based courses); re-registration for July 2026 session extended till 31 August 2026</t>
  </si>
  <si>
    <t xml:space="preserve">2026-07;2026-08</t>
  </si>
  <si>
    <t xml:space="preserve">https://ignouadmission.samarth.edu.in</t>
  </si>
  <si>
    <t xml:space="preserve">https://ignouadmission.samarth.edu.in/</t>
  </si>
  <si>
    <t xml:space="preserve">IGNOU is a NAAC A++ open university with 69 regional centres; admission window still open as of 28 September 2026. Not directly verified in an issue; IGNOU admission notices are recurring coverage in career magazines.</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</si>
</sst>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CCCCFF"/>
      </patternFill>
    </fill>
    <fill>
      <patternFill patternType="solid">
        <fgColor rgb="FFC6EFCE"/>
        <bgColor rgb="FFDDEBF7"/>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10</v>
      </c>
    </row>
    <row r="20" customFormat="false" ht="15" hidden="false" customHeight="false" outlineLevel="0" collapsed="false">
      <c r="B20" s="6" t="s">
        <v>14</v>
      </c>
      <c r="C20" s="7" t="s">
        <v>15</v>
      </c>
      <c r="D20" s="8" t="n">
        <f aca="false">COUNTIF(Log!B2:B300,"Internship")</f>
        <v>2</v>
      </c>
    </row>
    <row r="21" customFormat="false" ht="15" hidden="false" customHeight="false" outlineLevel="0" collapsed="false">
      <c r="B21" s="6" t="s">
        <v>16</v>
      </c>
      <c r="C21" s="7" t="s">
        <v>17</v>
      </c>
      <c r="D21" s="8" t="n">
        <f aca="false">COUNTIF(Log!B2:B300,"Admission / Entrance Exam")</f>
        <v>10</v>
      </c>
    </row>
    <row r="23" customFormat="false" ht="15" hidden="false" customHeight="false" outlineLevel="0" collapsed="false">
      <c r="B23" s="9" t="s">
        <v>18</v>
      </c>
      <c r="D23" s="10" t="n">
        <f aca="false">COUNTA(Log!A2:A300)</f>
        <v>22</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12</v>
      </c>
      <c r="C2" s="7" t="s">
        <v>36</v>
      </c>
      <c r="D2" s="7" t="s">
        <v>37</v>
      </c>
      <c r="E2" s="7" t="s">
        <v>38</v>
      </c>
      <c r="F2" s="7" t="s">
        <v>39</v>
      </c>
      <c r="G2" s="7" t="s">
        <v>40</v>
      </c>
      <c r="H2" s="7" t="s">
        <v>41</v>
      </c>
      <c r="I2" s="7" t="s">
        <v>42</v>
      </c>
      <c r="J2" s="7" t="s">
        <v>43</v>
      </c>
      <c r="K2" s="7" t="s">
        <v>44</v>
      </c>
      <c r="L2" s="7" t="s">
        <v>45</v>
      </c>
      <c r="M2" s="12" t="s">
        <v>46</v>
      </c>
      <c r="N2" s="7" t="s">
        <v>47</v>
      </c>
      <c r="O2" s="7" t="s">
        <v>48</v>
      </c>
      <c r="P2" s="7" t="s">
        <v>49</v>
      </c>
      <c r="Q2" s="7" t="s">
        <v>50</v>
      </c>
    </row>
    <row r="3" customFormat="false" ht="15" hidden="false" customHeight="false" outlineLevel="0" collapsed="false">
      <c r="A3" s="7" t="n">
        <v>2</v>
      </c>
      <c r="B3" s="7" t="s">
        <v>12</v>
      </c>
      <c r="C3" s="7" t="s">
        <v>51</v>
      </c>
      <c r="D3" s="7" t="s">
        <v>52</v>
      </c>
      <c r="E3" s="7" t="s">
        <v>53</v>
      </c>
      <c r="F3" s="7" t="s">
        <v>54</v>
      </c>
      <c r="G3" s="7" t="s">
        <v>55</v>
      </c>
      <c r="H3" s="7" t="s">
        <v>42</v>
      </c>
      <c r="I3" s="7" t="s">
        <v>56</v>
      </c>
      <c r="J3" s="7" t="s">
        <v>57</v>
      </c>
      <c r="K3" s="7" t="s">
        <v>58</v>
      </c>
      <c r="L3" s="7" t="s">
        <v>59</v>
      </c>
      <c r="M3" s="12" t="s">
        <v>46</v>
      </c>
      <c r="N3" s="7" t="s">
        <v>60</v>
      </c>
      <c r="O3" s="7" t="s">
        <v>61</v>
      </c>
      <c r="P3" s="7" t="s">
        <v>62</v>
      </c>
      <c r="Q3" s="7" t="s">
        <v>63</v>
      </c>
    </row>
    <row r="4" customFormat="false" ht="15" hidden="false" customHeight="false" outlineLevel="0" collapsed="false">
      <c r="A4" s="7" t="n">
        <v>3</v>
      </c>
      <c r="B4" s="7" t="s">
        <v>12</v>
      </c>
      <c r="C4" s="7" t="s">
        <v>64</v>
      </c>
      <c r="D4" s="7" t="s">
        <v>65</v>
      </c>
      <c r="E4" s="7" t="s">
        <v>66</v>
      </c>
      <c r="F4" s="7" t="s">
        <v>67</v>
      </c>
      <c r="G4" s="7" t="s">
        <v>55</v>
      </c>
      <c r="H4" s="7" t="s">
        <v>68</v>
      </c>
      <c r="I4" s="7" t="s">
        <v>69</v>
      </c>
      <c r="J4" s="7" t="s">
        <v>70</v>
      </c>
      <c r="K4" s="7" t="s">
        <v>71</v>
      </c>
      <c r="L4" s="7" t="s">
        <v>72</v>
      </c>
      <c r="M4" s="12" t="s">
        <v>46</v>
      </c>
      <c r="N4" s="7" t="s">
        <v>60</v>
      </c>
      <c r="O4" s="7" t="s">
        <v>73</v>
      </c>
      <c r="P4" s="7" t="s">
        <v>74</v>
      </c>
      <c r="Q4" s="7" t="s">
        <v>75</v>
      </c>
    </row>
    <row r="5" customFormat="false" ht="15" hidden="false" customHeight="false" outlineLevel="0" collapsed="false">
      <c r="A5" s="7" t="n">
        <v>4</v>
      </c>
      <c r="B5" s="7" t="s">
        <v>12</v>
      </c>
      <c r="C5" s="7" t="s">
        <v>76</v>
      </c>
      <c r="D5" s="7" t="s">
        <v>77</v>
      </c>
      <c r="E5" s="7" t="s">
        <v>78</v>
      </c>
      <c r="F5" s="7" t="s">
        <v>79</v>
      </c>
      <c r="G5" s="7" t="s">
        <v>55</v>
      </c>
      <c r="H5" s="7" t="s">
        <v>80</v>
      </c>
      <c r="I5" s="7" t="s">
        <v>42</v>
      </c>
      <c r="J5" s="7" t="s">
        <v>57</v>
      </c>
      <c r="K5" s="7" t="s">
        <v>81</v>
      </c>
      <c r="L5" s="7" t="s">
        <v>82</v>
      </c>
      <c r="M5" s="12" t="s">
        <v>46</v>
      </c>
      <c r="N5" s="7" t="s">
        <v>83</v>
      </c>
      <c r="O5" s="7" t="s">
        <v>84</v>
      </c>
      <c r="P5" s="7" t="s">
        <v>85</v>
      </c>
      <c r="Q5" s="7" t="s">
        <v>86</v>
      </c>
    </row>
    <row r="6" customFormat="false" ht="15" hidden="false" customHeight="false" outlineLevel="0" collapsed="false">
      <c r="A6" s="7" t="n">
        <v>5</v>
      </c>
      <c r="B6" s="7" t="s">
        <v>12</v>
      </c>
      <c r="C6" s="7" t="s">
        <v>87</v>
      </c>
      <c r="D6" s="7" t="s">
        <v>88</v>
      </c>
      <c r="E6" s="7" t="s">
        <v>89</v>
      </c>
      <c r="F6" s="7" t="s">
        <v>90</v>
      </c>
      <c r="G6" s="7" t="s">
        <v>91</v>
      </c>
      <c r="H6" s="7" t="s">
        <v>92</v>
      </c>
      <c r="I6" s="7" t="s">
        <v>42</v>
      </c>
      <c r="J6" s="7" t="s">
        <v>57</v>
      </c>
      <c r="K6" s="7" t="s">
        <v>93</v>
      </c>
      <c r="L6" s="7" t="s">
        <v>94</v>
      </c>
      <c r="M6" s="12" t="s">
        <v>46</v>
      </c>
      <c r="N6" s="7" t="s">
        <v>95</v>
      </c>
      <c r="O6" s="7" t="s">
        <v>48</v>
      </c>
      <c r="P6" s="7" t="s">
        <v>96</v>
      </c>
      <c r="Q6" s="7" t="s">
        <v>97</v>
      </c>
    </row>
    <row r="7" customFormat="false" ht="15" hidden="false" customHeight="false" outlineLevel="0" collapsed="false">
      <c r="A7" s="7" t="n">
        <v>6</v>
      </c>
      <c r="B7" s="7" t="s">
        <v>12</v>
      </c>
      <c r="C7" s="7" t="s">
        <v>98</v>
      </c>
      <c r="D7" s="7" t="s">
        <v>88</v>
      </c>
      <c r="E7" s="7" t="s">
        <v>89</v>
      </c>
      <c r="F7" s="7" t="s">
        <v>99</v>
      </c>
      <c r="G7" s="7" t="s">
        <v>100</v>
      </c>
      <c r="H7" s="7" t="s">
        <v>101</v>
      </c>
      <c r="I7" s="7" t="s">
        <v>42</v>
      </c>
      <c r="J7" s="7" t="s">
        <v>57</v>
      </c>
      <c r="K7" s="7" t="s">
        <v>102</v>
      </c>
      <c r="L7" s="7" t="s">
        <v>103</v>
      </c>
      <c r="M7" s="12" t="s">
        <v>46</v>
      </c>
      <c r="N7" s="7" t="s">
        <v>95</v>
      </c>
      <c r="O7" s="7" t="s">
        <v>48</v>
      </c>
      <c r="P7" s="7" t="s">
        <v>104</v>
      </c>
      <c r="Q7" s="7" t="s">
        <v>105</v>
      </c>
    </row>
    <row r="8" customFormat="false" ht="15" hidden="false" customHeight="false" outlineLevel="0" collapsed="false">
      <c r="A8" s="7" t="n">
        <v>7</v>
      </c>
      <c r="B8" s="7" t="s">
        <v>12</v>
      </c>
      <c r="C8" s="7" t="s">
        <v>106</v>
      </c>
      <c r="D8" s="7" t="s">
        <v>88</v>
      </c>
      <c r="E8" s="7" t="s">
        <v>107</v>
      </c>
      <c r="F8" s="7" t="s">
        <v>90</v>
      </c>
      <c r="G8" s="7" t="s">
        <v>108</v>
      </c>
      <c r="H8" s="7" t="s">
        <v>109</v>
      </c>
      <c r="I8" s="7" t="s">
        <v>42</v>
      </c>
      <c r="J8" s="7" t="s">
        <v>57</v>
      </c>
      <c r="K8" s="7" t="s">
        <v>110</v>
      </c>
      <c r="L8" s="7" t="s">
        <v>111</v>
      </c>
      <c r="M8" s="12" t="s">
        <v>46</v>
      </c>
      <c r="N8" s="7" t="s">
        <v>95</v>
      </c>
      <c r="O8" s="7" t="s">
        <v>48</v>
      </c>
      <c r="P8" s="7" t="s">
        <v>104</v>
      </c>
      <c r="Q8" s="7" t="s">
        <v>112</v>
      </c>
    </row>
    <row r="9" customFormat="false" ht="15" hidden="false" customHeight="false" outlineLevel="0" collapsed="false">
      <c r="A9" s="7" t="n">
        <v>8</v>
      </c>
      <c r="B9" s="7" t="s">
        <v>12</v>
      </c>
      <c r="C9" s="7" t="s">
        <v>113</v>
      </c>
      <c r="D9" s="7" t="s">
        <v>88</v>
      </c>
      <c r="E9" s="7" t="s">
        <v>114</v>
      </c>
      <c r="F9" s="7" t="s">
        <v>115</v>
      </c>
      <c r="G9" s="7" t="s">
        <v>116</v>
      </c>
      <c r="H9" s="7" t="s">
        <v>117</v>
      </c>
      <c r="I9" s="7" t="s">
        <v>42</v>
      </c>
      <c r="J9" s="7" t="s">
        <v>118</v>
      </c>
      <c r="K9" s="7" t="s">
        <v>119</v>
      </c>
      <c r="L9" s="7" t="s">
        <v>120</v>
      </c>
      <c r="M9" s="13" t="s">
        <v>121</v>
      </c>
      <c r="N9" s="7" t="s">
        <v>122</v>
      </c>
      <c r="O9" s="7" t="s">
        <v>48</v>
      </c>
      <c r="P9" s="7" t="s">
        <v>123</v>
      </c>
      <c r="Q9" s="7" t="s">
        <v>124</v>
      </c>
    </row>
    <row r="10" customFormat="false" ht="15" hidden="false" customHeight="false" outlineLevel="0" collapsed="false">
      <c r="A10" s="7" t="n">
        <v>9</v>
      </c>
      <c r="B10" s="7" t="s">
        <v>12</v>
      </c>
      <c r="C10" s="7" t="s">
        <v>125</v>
      </c>
      <c r="D10" s="7" t="s">
        <v>126</v>
      </c>
      <c r="E10" s="7" t="s">
        <v>127</v>
      </c>
      <c r="F10" s="7" t="s">
        <v>128</v>
      </c>
      <c r="G10" s="7" t="s">
        <v>129</v>
      </c>
      <c r="H10" s="7" t="s">
        <v>130</v>
      </c>
      <c r="I10" s="7" t="s">
        <v>42</v>
      </c>
      <c r="J10" s="7" t="s">
        <v>131</v>
      </c>
      <c r="K10" s="7" t="s">
        <v>132</v>
      </c>
      <c r="L10" s="7" t="s">
        <v>133</v>
      </c>
      <c r="M10" s="12" t="s">
        <v>46</v>
      </c>
      <c r="N10" s="7" t="s">
        <v>47</v>
      </c>
      <c r="O10" s="7" t="s">
        <v>48</v>
      </c>
      <c r="P10" s="7" t="s">
        <v>134</v>
      </c>
      <c r="Q10" s="7" t="s">
        <v>135</v>
      </c>
    </row>
    <row r="11" customFormat="false" ht="15" hidden="false" customHeight="false" outlineLevel="0" collapsed="false">
      <c r="A11" s="7" t="n">
        <v>10</v>
      </c>
      <c r="B11" s="7" t="s">
        <v>12</v>
      </c>
      <c r="C11" s="7" t="s">
        <v>136</v>
      </c>
      <c r="D11" s="7" t="s">
        <v>137</v>
      </c>
      <c r="E11" s="7" t="s">
        <v>138</v>
      </c>
      <c r="F11" s="7" t="s">
        <v>90</v>
      </c>
      <c r="G11" s="7" t="s">
        <v>55</v>
      </c>
      <c r="H11" s="7" t="s">
        <v>42</v>
      </c>
      <c r="I11" s="7" t="s">
        <v>42</v>
      </c>
      <c r="J11" s="7" t="s">
        <v>139</v>
      </c>
      <c r="K11" s="7" t="s">
        <v>140</v>
      </c>
      <c r="L11" s="7" t="s">
        <v>141</v>
      </c>
      <c r="M11" s="12" t="s">
        <v>46</v>
      </c>
      <c r="N11" s="7" t="s">
        <v>142</v>
      </c>
      <c r="O11" s="7" t="s">
        <v>143</v>
      </c>
      <c r="P11" s="7" t="s">
        <v>144</v>
      </c>
      <c r="Q11" s="7" t="s">
        <v>145</v>
      </c>
    </row>
    <row r="12" customFormat="false" ht="15" hidden="false" customHeight="false" outlineLevel="0" collapsed="false">
      <c r="A12" s="7" t="n">
        <v>11</v>
      </c>
      <c r="B12" s="7" t="s">
        <v>14</v>
      </c>
      <c r="C12" s="7" t="s">
        <v>146</v>
      </c>
      <c r="D12" s="7" t="s">
        <v>147</v>
      </c>
      <c r="E12" s="7" t="s">
        <v>148</v>
      </c>
      <c r="F12" s="7" t="s">
        <v>90</v>
      </c>
      <c r="G12" s="7" t="s">
        <v>55</v>
      </c>
      <c r="H12" s="7" t="s">
        <v>149</v>
      </c>
      <c r="I12" s="7" t="s">
        <v>150</v>
      </c>
      <c r="J12" s="7" t="s">
        <v>151</v>
      </c>
      <c r="K12" s="7" t="s">
        <v>152</v>
      </c>
      <c r="L12" s="7" t="s">
        <v>153</v>
      </c>
      <c r="M12" s="14" t="s">
        <v>154</v>
      </c>
      <c r="N12" s="7" t="s">
        <v>155</v>
      </c>
      <c r="O12" s="7" t="s">
        <v>156</v>
      </c>
      <c r="P12" s="7" t="s">
        <v>157</v>
      </c>
      <c r="Q12" s="7" t="s">
        <v>158</v>
      </c>
    </row>
    <row r="13" customFormat="false" ht="15" hidden="false" customHeight="false" outlineLevel="0" collapsed="false">
      <c r="A13" s="7" t="n">
        <v>12</v>
      </c>
      <c r="B13" s="7" t="s">
        <v>14</v>
      </c>
      <c r="C13" s="7" t="s">
        <v>159</v>
      </c>
      <c r="D13" s="7" t="s">
        <v>160</v>
      </c>
      <c r="E13" s="7" t="s">
        <v>161</v>
      </c>
      <c r="F13" s="7" t="s">
        <v>90</v>
      </c>
      <c r="G13" s="7" t="s">
        <v>55</v>
      </c>
      <c r="H13" s="7" t="s">
        <v>42</v>
      </c>
      <c r="I13" s="7" t="s">
        <v>42</v>
      </c>
      <c r="J13" s="7" t="s">
        <v>162</v>
      </c>
      <c r="K13" s="7" t="s">
        <v>163</v>
      </c>
      <c r="L13" s="7" t="s">
        <v>164</v>
      </c>
      <c r="M13" s="14" t="s">
        <v>154</v>
      </c>
      <c r="N13" s="7" t="s">
        <v>165</v>
      </c>
      <c r="O13" s="7" t="s">
        <v>166</v>
      </c>
      <c r="P13" s="7" t="s">
        <v>166</v>
      </c>
      <c r="Q13" s="7" t="s">
        <v>167</v>
      </c>
    </row>
    <row r="14" customFormat="false" ht="15" hidden="false" customHeight="false" outlineLevel="0" collapsed="false">
      <c r="A14" s="7" t="n">
        <v>13</v>
      </c>
      <c r="B14" s="7" t="s">
        <v>16</v>
      </c>
      <c r="C14" s="7" t="s">
        <v>168</v>
      </c>
      <c r="D14" s="7" t="s">
        <v>169</v>
      </c>
      <c r="E14" s="7" t="s">
        <v>170</v>
      </c>
      <c r="F14" s="7" t="s">
        <v>90</v>
      </c>
      <c r="G14" s="7" t="s">
        <v>55</v>
      </c>
      <c r="H14" s="7" t="s">
        <v>42</v>
      </c>
      <c r="I14" s="7" t="s">
        <v>171</v>
      </c>
      <c r="J14" s="7" t="s">
        <v>172</v>
      </c>
      <c r="K14" s="7" t="s">
        <v>173</v>
      </c>
      <c r="L14" s="7" t="s">
        <v>174</v>
      </c>
      <c r="M14" s="12" t="s">
        <v>46</v>
      </c>
      <c r="N14" s="7" t="s">
        <v>60</v>
      </c>
      <c r="O14" s="7" t="s">
        <v>175</v>
      </c>
      <c r="P14" s="7" t="s">
        <v>176</v>
      </c>
      <c r="Q14" s="7" t="s">
        <v>177</v>
      </c>
    </row>
    <row r="15" customFormat="false" ht="15" hidden="false" customHeight="false" outlineLevel="0" collapsed="false">
      <c r="A15" s="7" t="n">
        <v>14</v>
      </c>
      <c r="B15" s="7" t="s">
        <v>16</v>
      </c>
      <c r="C15" s="7" t="s">
        <v>178</v>
      </c>
      <c r="D15" s="7" t="s">
        <v>179</v>
      </c>
      <c r="E15" s="7" t="s">
        <v>180</v>
      </c>
      <c r="F15" s="7" t="s">
        <v>90</v>
      </c>
      <c r="G15" s="7" t="s">
        <v>55</v>
      </c>
      <c r="H15" s="7" t="s">
        <v>42</v>
      </c>
      <c r="I15" s="7" t="s">
        <v>181</v>
      </c>
      <c r="J15" s="7" t="s">
        <v>182</v>
      </c>
      <c r="K15" s="7" t="s">
        <v>183</v>
      </c>
      <c r="L15" s="7" t="s">
        <v>184</v>
      </c>
      <c r="M15" s="13" t="s">
        <v>121</v>
      </c>
      <c r="N15" s="7" t="s">
        <v>185</v>
      </c>
      <c r="O15" s="7" t="s">
        <v>186</v>
      </c>
      <c r="P15" s="7" t="s">
        <v>187</v>
      </c>
      <c r="Q15" s="7" t="s">
        <v>188</v>
      </c>
    </row>
    <row r="16" customFormat="false" ht="15" hidden="false" customHeight="false" outlineLevel="0" collapsed="false">
      <c r="A16" s="7" t="n">
        <v>15</v>
      </c>
      <c r="B16" s="7" t="s">
        <v>16</v>
      </c>
      <c r="C16" s="7" t="s">
        <v>189</v>
      </c>
      <c r="D16" s="7" t="s">
        <v>190</v>
      </c>
      <c r="E16" s="7" t="s">
        <v>191</v>
      </c>
      <c r="F16" s="7" t="s">
        <v>90</v>
      </c>
      <c r="G16" s="7" t="s">
        <v>55</v>
      </c>
      <c r="H16" s="7" t="s">
        <v>42</v>
      </c>
      <c r="I16" s="7" t="s">
        <v>42</v>
      </c>
      <c r="J16" s="7" t="s">
        <v>192</v>
      </c>
      <c r="K16" s="7" t="s">
        <v>193</v>
      </c>
      <c r="L16" s="7" t="s">
        <v>194</v>
      </c>
      <c r="M16" s="12" t="s">
        <v>46</v>
      </c>
      <c r="N16" s="7" t="s">
        <v>195</v>
      </c>
      <c r="O16" s="7" t="s">
        <v>196</v>
      </c>
      <c r="P16" s="7" t="s">
        <v>197</v>
      </c>
      <c r="Q16" s="7" t="s">
        <v>198</v>
      </c>
    </row>
    <row r="17" customFormat="false" ht="15" hidden="false" customHeight="false" outlineLevel="0" collapsed="false">
      <c r="A17" s="7" t="n">
        <v>16</v>
      </c>
      <c r="B17" s="7" t="s">
        <v>16</v>
      </c>
      <c r="C17" s="7" t="s">
        <v>199</v>
      </c>
      <c r="D17" s="7" t="s">
        <v>190</v>
      </c>
      <c r="E17" s="7" t="s">
        <v>200</v>
      </c>
      <c r="F17" s="7" t="s">
        <v>90</v>
      </c>
      <c r="G17" s="7" t="s">
        <v>55</v>
      </c>
      <c r="H17" s="7" t="s">
        <v>42</v>
      </c>
      <c r="I17" s="7" t="s">
        <v>42</v>
      </c>
      <c r="J17" s="7" t="s">
        <v>192</v>
      </c>
      <c r="K17" s="7" t="s">
        <v>201</v>
      </c>
      <c r="L17" s="7" t="s">
        <v>202</v>
      </c>
      <c r="M17" s="12" t="s">
        <v>46</v>
      </c>
      <c r="N17" s="7" t="s">
        <v>203</v>
      </c>
      <c r="O17" s="7" t="s">
        <v>204</v>
      </c>
      <c r="P17" s="7" t="s">
        <v>205</v>
      </c>
      <c r="Q17" s="7" t="s">
        <v>206</v>
      </c>
    </row>
    <row r="18" customFormat="false" ht="15" hidden="false" customHeight="false" outlineLevel="0" collapsed="false">
      <c r="A18" s="7" t="n">
        <v>17</v>
      </c>
      <c r="B18" s="7" t="s">
        <v>16</v>
      </c>
      <c r="C18" s="7" t="s">
        <v>207</v>
      </c>
      <c r="D18" s="7" t="s">
        <v>190</v>
      </c>
      <c r="E18" s="7" t="s">
        <v>208</v>
      </c>
      <c r="F18" s="7" t="s">
        <v>90</v>
      </c>
      <c r="G18" s="7" t="s">
        <v>55</v>
      </c>
      <c r="H18" s="7" t="s">
        <v>42</v>
      </c>
      <c r="I18" s="7" t="s">
        <v>42</v>
      </c>
      <c r="J18" s="7" t="s">
        <v>209</v>
      </c>
      <c r="K18" s="7" t="s">
        <v>210</v>
      </c>
      <c r="L18" s="7" t="s">
        <v>211</v>
      </c>
      <c r="M18" s="12" t="s">
        <v>46</v>
      </c>
      <c r="N18" s="7" t="s">
        <v>212</v>
      </c>
      <c r="O18" s="7" t="s">
        <v>213</v>
      </c>
      <c r="P18" s="7" t="s">
        <v>214</v>
      </c>
      <c r="Q18" s="7" t="s">
        <v>215</v>
      </c>
    </row>
    <row r="19" customFormat="false" ht="15" hidden="false" customHeight="false" outlineLevel="0" collapsed="false">
      <c r="A19" s="7" t="n">
        <v>18</v>
      </c>
      <c r="B19" s="7" t="s">
        <v>16</v>
      </c>
      <c r="C19" s="7" t="s">
        <v>216</v>
      </c>
      <c r="D19" s="7" t="s">
        <v>217</v>
      </c>
      <c r="E19" s="7" t="s">
        <v>218</v>
      </c>
      <c r="F19" s="7" t="s">
        <v>90</v>
      </c>
      <c r="G19" s="7" t="s">
        <v>55</v>
      </c>
      <c r="H19" s="7" t="s">
        <v>42</v>
      </c>
      <c r="I19" s="7" t="s">
        <v>42</v>
      </c>
      <c r="J19" s="7" t="s">
        <v>192</v>
      </c>
      <c r="K19" s="7" t="s">
        <v>219</v>
      </c>
      <c r="L19" s="7" t="s">
        <v>220</v>
      </c>
      <c r="M19" s="12" t="s">
        <v>46</v>
      </c>
      <c r="N19" s="7" t="s">
        <v>221</v>
      </c>
      <c r="O19" s="7" t="s">
        <v>222</v>
      </c>
      <c r="P19" s="7" t="s">
        <v>223</v>
      </c>
      <c r="Q19" s="7" t="s">
        <v>224</v>
      </c>
    </row>
    <row r="20" customFormat="false" ht="15" hidden="false" customHeight="false" outlineLevel="0" collapsed="false">
      <c r="A20" s="7" t="n">
        <v>19</v>
      </c>
      <c r="B20" s="7" t="s">
        <v>16</v>
      </c>
      <c r="C20" s="7" t="s">
        <v>225</v>
      </c>
      <c r="D20" s="7" t="s">
        <v>226</v>
      </c>
      <c r="E20" s="7" t="s">
        <v>227</v>
      </c>
      <c r="F20" s="7" t="s">
        <v>90</v>
      </c>
      <c r="G20" s="7" t="s">
        <v>55</v>
      </c>
      <c r="H20" s="7" t="s">
        <v>42</v>
      </c>
      <c r="I20" s="7" t="s">
        <v>42</v>
      </c>
      <c r="J20" s="7" t="s">
        <v>228</v>
      </c>
      <c r="K20" s="7" t="s">
        <v>229</v>
      </c>
      <c r="L20" s="7" t="s">
        <v>230</v>
      </c>
      <c r="M20" s="12" t="s">
        <v>46</v>
      </c>
      <c r="N20" s="7" t="s">
        <v>83</v>
      </c>
      <c r="O20" s="7" t="s">
        <v>231</v>
      </c>
      <c r="P20" s="7" t="s">
        <v>232</v>
      </c>
      <c r="Q20" s="7" t="s">
        <v>233</v>
      </c>
    </row>
    <row r="21" customFormat="false" ht="15" hidden="false" customHeight="false" outlineLevel="0" collapsed="false">
      <c r="A21" s="7" t="n">
        <v>20</v>
      </c>
      <c r="B21" s="7" t="s">
        <v>16</v>
      </c>
      <c r="C21" s="7" t="s">
        <v>234</v>
      </c>
      <c r="D21" s="7" t="s">
        <v>235</v>
      </c>
      <c r="E21" s="7" t="s">
        <v>236</v>
      </c>
      <c r="F21" s="7" t="s">
        <v>90</v>
      </c>
      <c r="G21" s="7" t="s">
        <v>55</v>
      </c>
      <c r="H21" s="7" t="s">
        <v>42</v>
      </c>
      <c r="I21" s="7" t="s">
        <v>237</v>
      </c>
      <c r="J21" s="7" t="s">
        <v>192</v>
      </c>
      <c r="K21" s="7" t="s">
        <v>238</v>
      </c>
      <c r="L21" s="7" t="s">
        <v>239</v>
      </c>
      <c r="M21" s="12" t="s">
        <v>46</v>
      </c>
      <c r="N21" s="7" t="s">
        <v>240</v>
      </c>
      <c r="O21" s="7" t="s">
        <v>241</v>
      </c>
      <c r="P21" s="7" t="s">
        <v>242</v>
      </c>
      <c r="Q21" s="7" t="s">
        <v>243</v>
      </c>
    </row>
    <row r="22" customFormat="false" ht="15" hidden="false" customHeight="false" outlineLevel="0" collapsed="false">
      <c r="A22" s="7" t="n">
        <v>21</v>
      </c>
      <c r="B22" s="7" t="s">
        <v>16</v>
      </c>
      <c r="C22" s="7" t="s">
        <v>244</v>
      </c>
      <c r="D22" s="7" t="s">
        <v>245</v>
      </c>
      <c r="E22" s="7" t="s">
        <v>246</v>
      </c>
      <c r="F22" s="7" t="s">
        <v>90</v>
      </c>
      <c r="G22" s="7" t="s">
        <v>55</v>
      </c>
      <c r="H22" s="7" t="s">
        <v>42</v>
      </c>
      <c r="I22" s="7" t="s">
        <v>42</v>
      </c>
      <c r="J22" s="7" t="s">
        <v>247</v>
      </c>
      <c r="K22" s="7" t="s">
        <v>248</v>
      </c>
      <c r="L22" s="7" t="s">
        <v>249</v>
      </c>
      <c r="M22" s="12" t="s">
        <v>46</v>
      </c>
      <c r="N22" s="7" t="s">
        <v>195</v>
      </c>
      <c r="O22" s="7" t="s">
        <v>250</v>
      </c>
      <c r="P22" s="7" t="s">
        <v>251</v>
      </c>
      <c r="Q22" s="7" t="s">
        <v>252</v>
      </c>
    </row>
    <row r="23" customFormat="false" ht="15" hidden="false" customHeight="false" outlineLevel="0" collapsed="false">
      <c r="A23" s="7" t="n">
        <v>22</v>
      </c>
      <c r="B23" s="7" t="s">
        <v>16</v>
      </c>
      <c r="C23" s="7" t="s">
        <v>253</v>
      </c>
      <c r="D23" s="7" t="s">
        <v>254</v>
      </c>
      <c r="E23" s="7" t="s">
        <v>255</v>
      </c>
      <c r="F23" s="7" t="s">
        <v>90</v>
      </c>
      <c r="G23" s="7" t="s">
        <v>55</v>
      </c>
      <c r="H23" s="7" t="s">
        <v>42</v>
      </c>
      <c r="I23" s="7" t="s">
        <v>42</v>
      </c>
      <c r="J23" s="7" t="s">
        <v>256</v>
      </c>
      <c r="K23" s="7" t="s">
        <v>257</v>
      </c>
      <c r="L23" s="7" t="s">
        <v>258</v>
      </c>
      <c r="M23" s="13" t="s">
        <v>121</v>
      </c>
      <c r="N23" s="7" t="s">
        <v>259</v>
      </c>
      <c r="O23" s="7" t="s">
        <v>260</v>
      </c>
      <c r="P23" s="7" t="s">
        <v>261</v>
      </c>
      <c r="Q23" s="7" t="s">
        <v>262</v>
      </c>
    </row>
  </sheetData>
  <autoFilter ref="A1:Q23"/>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2026-09-28T06:29:38Z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