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Log" sheetId="2" state="visible" r:id="rId2"/>
  </sheets>
  <definedNames>
    <definedName name="_xlnm._FilterDatabase" localSheetId="1" hidden="1">'Log'!$A$1:$Q$26</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rgb="FF000000"/>
      <sz val="11"/>
    </font>
    <font>
      <name val="Arial"/>
      <family val="0"/>
      <sz val="10"/>
    </font>
    <font>
      <name val="Arial"/>
      <family val="0"/>
      <sz val="10"/>
    </font>
    <font>
      <name val="Arial"/>
      <family val="0"/>
      <sz val="10"/>
    </font>
    <font>
      <name val="Arial"/>
      <charset val="1"/>
      <family val="0"/>
      <b val="1"/>
      <color rgb="FF1F4E79"/>
      <sz val="16"/>
    </font>
    <font>
      <name val="Arial"/>
      <charset val="1"/>
      <family val="0"/>
      <color rgb="FF404040"/>
      <sz val="11"/>
    </font>
    <font>
      <name val="Arial"/>
      <charset val="1"/>
      <family val="0"/>
      <b val="1"/>
      <color rgb="FF1F4E79"/>
      <sz val="12"/>
    </font>
    <font>
      <name val="Arial"/>
      <charset val="1"/>
      <family val="0"/>
      <sz val="10"/>
    </font>
    <font>
      <name val="Arial"/>
      <charset val="1"/>
      <family val="0"/>
      <b val="1"/>
      <color rgb="FFFFFFFF"/>
      <sz val="10"/>
    </font>
    <font>
      <name val="Arial"/>
      <charset val="1"/>
      <family val="0"/>
      <b val="1"/>
      <sz val="10"/>
    </font>
    <font>
      <name val="Arial"/>
      <charset val="1"/>
      <family val="0"/>
      <b val="1"/>
      <color rgb="FF1F4E79"/>
      <sz val="11"/>
    </font>
  </fonts>
  <fills count="6">
    <fill>
      <patternFill/>
    </fill>
    <fill>
      <patternFill patternType="gray125"/>
    </fill>
    <fill>
      <patternFill patternType="solid">
        <fgColor rgb="FF1F4E79"/>
        <bgColor rgb="FF003366"/>
      </patternFill>
    </fill>
    <fill>
      <patternFill patternType="solid">
        <fgColor rgb="FFFFC7CE"/>
        <bgColor rgb="FFCCCCFF"/>
      </patternFill>
    </fill>
    <fill>
      <patternFill patternType="solid">
        <fgColor rgb="FFC6EFCE"/>
        <bgColor rgb="FFDDEBF7"/>
      </patternFill>
    </fill>
    <fill>
      <patternFill patternType="solid">
        <fgColor rgb="FFDDEBF7"/>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0" applyAlignment="1" pivotButton="0" quotePrefix="0" xfId="0">
      <alignment horizontal="general" vertical="bottom"/>
    </xf>
    <xf numFmtId="0" fontId="9" fillId="0" borderId="1" applyAlignment="1" pivotButton="0" quotePrefix="0" xfId="0">
      <alignment horizontal="general" vertical="bottom"/>
    </xf>
    <xf numFmtId="0" fontId="7" fillId="0" borderId="1" applyAlignment="1" pivotButton="0" quotePrefix="0" xfId="0">
      <alignment horizontal="general" vertical="top" wrapText="1"/>
    </xf>
    <xf numFmtId="0" fontId="9" fillId="0" borderId="1" applyAlignment="1" pivotButton="0" quotePrefix="0" xfId="0">
      <alignment horizontal="center" vertical="bottom"/>
    </xf>
    <xf numFmtId="0" fontId="10" fillId="0" borderId="0" applyAlignment="1" pivotButton="0" quotePrefix="0" xfId="0">
      <alignment horizontal="general" vertical="bottom"/>
    </xf>
    <xf numFmtId="0" fontId="10" fillId="0" borderId="0" applyAlignment="1" pivotButton="0" quotePrefix="0" xfId="0">
      <alignment horizontal="center" vertical="bottom"/>
    </xf>
    <xf numFmtId="0" fontId="8" fillId="2" borderId="1" applyAlignment="1" pivotButton="0" quotePrefix="0" xfId="0">
      <alignment horizontal="center" vertical="center"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0" applyAlignment="1" pivotButton="0" quotePrefix="0" xfId="0">
      <alignment horizontal="general" vertical="bottom"/>
    </xf>
    <xf numFmtId="0" fontId="9" fillId="0" borderId="1" applyAlignment="1" pivotButton="0" quotePrefix="0" xfId="0">
      <alignment horizontal="general" vertical="bottom"/>
    </xf>
    <xf numFmtId="0" fontId="7" fillId="0" borderId="1" applyAlignment="1" pivotButton="0" quotePrefix="0" xfId="0">
      <alignment horizontal="general" vertical="top" wrapText="1"/>
    </xf>
    <xf numFmtId="0" fontId="9" fillId="0" borderId="1" applyAlignment="1" pivotButton="0" quotePrefix="0" xfId="0">
      <alignment horizontal="center" vertical="bottom"/>
    </xf>
    <xf numFmtId="0" fontId="10" fillId="0" borderId="0" applyAlignment="1" pivotButton="0" quotePrefix="0" xfId="0">
      <alignment horizontal="general" vertical="bottom"/>
    </xf>
    <xf numFmtId="0" fontId="10" fillId="0" borderId="0" applyAlignment="1" pivotButton="0" quotePrefix="0" xfId="0">
      <alignment horizontal="center" vertical="bottom"/>
    </xf>
    <xf numFmtId="0" fontId="8" fillId="2" borderId="1" applyAlignment="1" pivotButton="0" quotePrefix="0" xfId="0">
      <alignment horizontal="center" vertical="center"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4E79"/>
        </patternFill>
      </fill>
    </dxf>
    <dxf>
      <fill>
        <patternFill patternType="solid">
          <fgColor rgb="00FFFFFF"/>
        </patternFill>
      </fill>
    </dxf>
    <dxf>
      <fill>
        <patternFill patternType="solid">
          <fgColor rgb="FFFFFFFF"/>
        </patternFill>
      </fill>
    </dxf>
    <dxf>
      <fill>
        <patternFill patternType="solid">
          <fgColor rgb="FFC6EFCE"/>
        </patternFill>
      </fill>
    </dxf>
    <dxf>
      <fill>
        <patternFill patternType="solid">
          <fgColor rgb="FFDDEBF7"/>
        </patternFill>
      </fill>
    </dxf>
    <dxf>
      <fill>
        <patternFill patternType="solid">
          <f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D2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zeroHeight="0" outlineLevelRow="0"/>
  <cols>
    <col width="3" customWidth="1" style="16" min="1" max="1"/>
    <col width="30" customWidth="1" style="16" min="2" max="2"/>
    <col width="95" customWidth="1" style="16" min="3" max="3"/>
    <col width="16" customWidth="1" style="16" min="4" max="4"/>
  </cols>
  <sheetData>
    <row r="1"/>
    <row r="2" ht="15" customHeight="1" s="17">
      <c r="B2" s="18" t="inlineStr">
        <is>
          <t>Samanya Gyan Darpan - Opportunities Log</t>
        </is>
      </c>
    </row>
    <row r="3" ht="15" customHeight="1" s="17">
      <c r="B3" s="19" t="inlineStr">
        <is>
          <t>Coverage window: April 2025 - October 2026 (19 months) | Sections logged: scholarships &amp; fellowships, internships, admissions &amp; entrance exams (no government job recruitment, per scope)</t>
        </is>
      </c>
    </row>
    <row r="4" ht="15" customHeight="1" s="17">
      <c r="B4" s="19" t="inlineStr">
        <is>
          <t>Compiled 28 September 2026 | updated 21 October 2026 with the 1-21 October 2026 scrape</t>
        </is>
      </c>
    </row>
    <row r="5"/>
    <row r="6" ht="15" customHeight="1" s="17">
      <c r="B6" s="20" t="inlineStr">
        <is>
          <t>Method &amp; caveats</t>
        </is>
      </c>
    </row>
    <row r="7" ht="15" customHeight="1" s="17">
      <c r="B7" s="21" t="inlineStr">
        <is>
          <t>Print archives of this magazine are not publicly accessible in bulk, so entries were compiled from the magazine's own website/web editions where available, and from official notification portals and reputable coverage elsewhere. The Source(s) column links where each fact was verified, and the Notes column states whether the item's appearance in a specific magazine issue was directly verified or inferred from the magazine's normal coverage.</t>
        </is>
      </c>
    </row>
    <row r="8" ht="15" customHeight="1" s="17"/>
    <row r="9" ht="15" customHeight="1" s="17">
      <c r="B9" s="21" t="inlineStr">
        <is>
          <t>Coverage Month = the month(s) the item appeared (or would customarily appear) in the magazine, based on the notification's own public timeline.</t>
        </is>
      </c>
    </row>
    <row r="10" ht="15" customHeight="1" s="17"/>
    <row r="11" ht="15" customHeight="1" s="17">
      <c r="B11" s="21" t="inlineStr">
        <is>
          <t>Status is as of 28 September 2026: green = open now, blue = rolling applications, amber = upcoming, grey = dates to be announced, red = closed. Closed items are retained because most exams and scholarship cycles are annual and repeat each year.</t>
        </is>
      </c>
    </row>
    <row r="12" ht="15" customHeight="1" s="17"/>
    <row r="13" ht="15" customHeight="1" s="17">
      <c r="B13" s="21" t="inlineStr">
        <is>
          <t>Deadlines and fees change - always verify on the Official Website column before relying on any date. This is an information compilation, not an endorsement; never apply through third-party paid agents.</t>
        </is>
      </c>
    </row>
    <row r="14" ht="15" customHeight="1" s="17"/>
    <row r="15"/>
    <row r="16"/>
    <row r="17" ht="15" customHeight="1" s="17">
      <c r="B17" s="20" t="inlineStr">
        <is>
          <t>Entries by section</t>
        </is>
      </c>
    </row>
    <row r="18" ht="15" customHeight="1" s="17">
      <c r="B18" s="22" t="inlineStr">
        <is>
          <t>Section</t>
        </is>
      </c>
      <c r="C18" s="22" t="inlineStr">
        <is>
          <t>Description</t>
        </is>
      </c>
      <c r="D18" s="22" t="inlineStr">
        <is>
          <t>Count</t>
        </is>
      </c>
    </row>
    <row r="19" ht="15" customHeight="1" s="17">
      <c r="B19" s="23" t="inlineStr">
        <is>
          <t>Scholarship / Fellowship</t>
        </is>
      </c>
      <c r="C19" s="24" t="inlineStr">
        <is>
          <t>Government, trust and CSR scholarships and fellowships covered in this window.</t>
        </is>
      </c>
      <c r="D19" s="25">
        <f>COUNTIF(Log!B2:B300,"Scholarship / Fellowship")</f>
        <v/>
      </c>
    </row>
    <row r="20" ht="15" customHeight="1" s="17">
      <c r="B20" s="23" t="inlineStr">
        <is>
          <t>Internship</t>
        </is>
      </c>
      <c r="C20" s="24" t="inlineStr">
        <is>
          <t>Internship programmes covered in this window.</t>
        </is>
      </c>
      <c r="D20" s="25">
        <f>COUNTIF(Log!B2:B300,"Internship")</f>
        <v/>
      </c>
    </row>
    <row r="21" ht="15" customHeight="1" s="17">
      <c r="B21" s="23" t="inlineStr">
        <is>
          <t>Admission / Entrance Exam</t>
        </is>
      </c>
      <c r="C21" s="24" t="inlineStr">
        <is>
          <t>University/institute admissions and entrance exam notifications (CUET, GATE, CAT, CLAT, EAPCET etc.).</t>
        </is>
      </c>
      <c r="D21" s="25">
        <f>COUNTIF(Log!B2:B300,"Admission / Entrance Exam")</f>
        <v/>
      </c>
    </row>
    <row r="22"/>
    <row r="23" ht="15" customHeight="1" s="17">
      <c r="B23" s="26" t="inlineStr">
        <is>
          <t>Total entries</t>
        </is>
      </c>
      <c r="D23" s="27">
        <f>COUNTA(Log!A2:A300)</f>
        <v/>
      </c>
    </row>
  </sheetData>
  <mergeCells count="4">
    <mergeCell ref="B9:D10"/>
    <mergeCell ref="B7:D8"/>
    <mergeCell ref="B13:D14"/>
    <mergeCell ref="B11:D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Q29"/>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59765625" defaultRowHeight="15" zeroHeight="0" outlineLevelRow="0"/>
  <cols>
    <col width="5" customWidth="1" style="16" min="1" max="1"/>
    <col width="17" customWidth="1" style="16" min="2" max="2"/>
    <col width="40" customWidth="1" style="16" min="3" max="3"/>
    <col width="30" customWidth="1" style="16" min="4" max="4"/>
    <col width="38" customWidth="1" style="16" min="5" max="5"/>
    <col width="20" customWidth="1" style="16" min="6" max="6"/>
    <col width="10" customWidth="1" style="16" min="7" max="7"/>
    <col width="16" customWidth="1" style="16" min="8" max="8"/>
    <col width="12" customWidth="1" style="16" min="9" max="9"/>
    <col width="18" customWidth="1" style="16" min="10" max="10"/>
    <col width="26" customWidth="1" style="16" min="11" max="12"/>
    <col width="12" customWidth="1" style="16" min="13" max="13"/>
    <col width="13" customWidth="1" style="16" min="14" max="14"/>
    <col width="30" customWidth="1" style="16" min="15" max="15"/>
    <col width="34" customWidth="1" style="16" min="16" max="16"/>
    <col width="38" customWidth="1" style="16" min="17" max="17"/>
  </cols>
  <sheetData>
    <row r="1" ht="15" customHeight="1" s="17">
      <c r="A1" s="28" t="inlineStr">
        <is>
          <t>S.No</t>
        </is>
      </c>
      <c r="B1" s="28" t="inlineStr">
        <is>
          <t>Type</t>
        </is>
      </c>
      <c r="C1" s="28" t="inlineStr">
        <is>
          <t>Name</t>
        </is>
      </c>
      <c r="D1" s="28" t="inlineStr">
        <is>
          <t>Organiser</t>
        </is>
      </c>
      <c r="E1" s="28" t="inlineStr">
        <is>
          <t>For (Education Background)</t>
        </is>
      </c>
      <c r="F1" s="28" t="inlineStr">
        <is>
          <t>Caste / Community</t>
        </is>
      </c>
      <c r="G1" s="28" t="inlineStr">
        <is>
          <t>Gender</t>
        </is>
      </c>
      <c r="H1" s="28" t="inlineStr">
        <is>
          <t>Income Limit</t>
        </is>
      </c>
      <c r="I1" s="28" t="inlineStr">
        <is>
          <t>Age Limit</t>
        </is>
      </c>
      <c r="J1" s="28" t="inlineStr">
        <is>
          <t>Cycle</t>
        </is>
      </c>
      <c r="K1" s="28" t="inlineStr">
        <is>
          <t>Award / Stipend / Fees</t>
        </is>
      </c>
      <c r="L1" s="28" t="inlineStr">
        <is>
          <t>Deadline / Window</t>
        </is>
      </c>
      <c r="M1" s="28" t="inlineStr">
        <is>
          <t>Status</t>
        </is>
      </c>
      <c r="N1" s="28" t="inlineStr">
        <is>
          <t>Coverage Month</t>
        </is>
      </c>
      <c r="O1" s="28" t="inlineStr">
        <is>
          <t>Official Website</t>
        </is>
      </c>
      <c r="P1" s="28" t="inlineStr">
        <is>
          <t>Source(s)</t>
        </is>
      </c>
      <c r="Q1" s="28" t="inlineStr">
        <is>
          <t>Notes</t>
        </is>
      </c>
    </row>
    <row r="2" ht="15" customHeight="1" s="17">
      <c r="A2" s="24" t="n">
        <v>1</v>
      </c>
      <c r="B2" s="24" t="inlineStr">
        <is>
          <t>Scholarship / Fellowship</t>
        </is>
      </c>
      <c r="C2" s="24" t="inlineStr">
        <is>
          <t>PM YASASVI Scholarship 2025-26 (Top Class Education in Schools for OBC, EBC and DNT students)</t>
        </is>
      </c>
      <c r="D2" s="24" t="inlineStr">
        <is>
          <t>Ministry of Social Justice and Empowerment, Government of India</t>
        </is>
      </c>
      <c r="E2" s="24" t="inlineStr">
        <is>
          <t>Classes 9-12 (entry at Class 9 and Class 11)</t>
        </is>
      </c>
      <c r="F2" s="24" t="inlineStr">
        <is>
          <t>OBC, EBC, DNT/S-NT</t>
        </is>
      </c>
      <c r="G2" s="24" t="inlineStr">
        <is>
          <t>All (boys and girls)</t>
        </is>
      </c>
      <c r="H2" s="24" t="inlineStr">
        <is>
          <t>Family income up to Rs 2.5 lakh per annum</t>
        </is>
      </c>
      <c r="I2" s="24" t="inlineStr">
        <is>
          <t>NA</t>
        </is>
      </c>
      <c r="J2" s="24" t="inlineStr">
        <is>
          <t>Annual (2025-26)</t>
        </is>
      </c>
      <c r="K2" s="24" t="inlineStr">
        <is>
          <t>Rs 75,000 per year for Class 9-10; Rs 1,25,000 per year for Class 11-12</t>
        </is>
      </c>
      <c r="L2" s="24" t="inlineStr">
        <is>
          <t>Applications 2 June to 31 August 2025 on NSP (later verification deadlines in September 2025); around 15,000 scholarships</t>
        </is>
      </c>
      <c r="M2" s="29" t="inlineStr">
        <is>
          <t>Closed</t>
        </is>
      </c>
      <c r="N2" s="24" t="inlineStr">
        <is>
          <t>2025-07;2025-08</t>
        </is>
      </c>
      <c r="O2" s="24" t="inlineStr">
        <is>
          <t>https://scholarships.gov.in</t>
        </is>
      </c>
      <c r="P2" s="24" t="inlineStr">
        <is>
          <t>https://www.aubsp.com/pm-yasasvi-scholarship/</t>
        </is>
      </c>
      <c r="Q2" s="24" t="inlineStr">
        <is>
          <t>YASASVI Entrance Test (YET) was discontinued for 2025; selection merit-based on previous class marks. Not directly verified in a specific issue; included as a well-known central scholarship squarely within the magazine's normal coverage, with facts verified against notification sources.</t>
        </is>
      </c>
    </row>
    <row r="3" ht="15" customHeight="1" s="17">
      <c r="A3" s="24" t="n">
        <v>2</v>
      </c>
      <c r="B3" s="24" t="inlineStr">
        <is>
          <t>Scholarship / Fellowship</t>
        </is>
      </c>
      <c r="C3" s="24" t="inlineStr">
        <is>
          <t>INSPIRE Scholarship for Higher Education (SHE) 2025</t>
        </is>
      </c>
      <c r="D3" s="24" t="inlineStr">
        <is>
          <t>Department of Science and Technology, Ministry of Science and Technology</t>
        </is>
      </c>
      <c r="E3" s="24" t="inlineStr">
        <is>
          <t>Basic and Natural Sciences at BSc/BS/Int MSc/MS level (UG and PG)</t>
        </is>
      </c>
      <c r="F3" s="24" t="inlineStr">
        <is>
          <t>Open to all categories on merit</t>
        </is>
      </c>
      <c r="G3" s="24" t="inlineStr">
        <is>
          <t>All</t>
        </is>
      </c>
      <c r="H3" s="24" t="inlineStr">
        <is>
          <t>NA</t>
        </is>
      </c>
      <c r="I3" s="24" t="inlineStr">
        <is>
          <t>17-22 years</t>
        </is>
      </c>
      <c r="J3" s="24" t="inlineStr">
        <is>
          <t>Annual</t>
        </is>
      </c>
      <c r="K3" s="24" t="inlineStr">
        <is>
          <t>Rs 80,000 per year (Rs 5,000 per month) plus Rs 20,000 per year summer mentorship grant</t>
        </is>
      </c>
      <c r="L3" s="24" t="inlineStr">
        <is>
          <t>Applications typically open September to November 2025 via online-inspire.gov.in (2024 call ran 1 September to 15 October)</t>
        </is>
      </c>
      <c r="M3" s="29" t="inlineStr">
        <is>
          <t>Closed</t>
        </is>
      </c>
      <c r="N3" s="24" t="inlineStr">
        <is>
          <t>2025-09;2025-10</t>
        </is>
      </c>
      <c r="O3" s="24" t="inlineStr">
        <is>
          <t>https://online-inspire.gov.in</t>
        </is>
      </c>
      <c r="P3" s="24" t="inlineStr">
        <is>
          <t>https://www.sarvgyan.com/articles/kvpy-inspire-2025</t>
        </is>
      </c>
      <c r="Q3" s="24" t="inlineStr">
        <is>
          <t>About 10,000-12,000 scholarships annually; eligibility includes top 1 percent in Class 12 boards or top 10,000 JEE Advanced/NEET ranks, IISER/NISER/DAE-CBS students, Olympiad medallists. Not directly verified in an issue; well-known DST scheme in the magazine's normal coverage.</t>
        </is>
      </c>
    </row>
    <row r="4" ht="15" customHeight="1" s="17">
      <c r="A4" s="24" t="n">
        <v>3</v>
      </c>
      <c r="B4" s="24" t="inlineStr">
        <is>
          <t>Scholarship / Fellowship</t>
        </is>
      </c>
      <c r="C4" s="24" t="inlineStr">
        <is>
          <t>National Means-cum-Merit Scholarship (NMMS) 2025-26</t>
        </is>
      </c>
      <c r="D4" s="24" t="inlineStr">
        <is>
          <t>Ministry of Education, implemented by state SCERTs</t>
        </is>
      </c>
      <c r="E4" s="24" t="inlineStr">
        <is>
          <t>Selected from Class 8; scholarship paid Class 9 to 12</t>
        </is>
      </c>
      <c r="F4" s="24" t="inlineStr">
        <is>
          <t>Open to all (SC/ST relaxation in eligibility marks)</t>
        </is>
      </c>
      <c r="G4" s="24" t="inlineStr">
        <is>
          <t>All</t>
        </is>
      </c>
      <c r="H4" s="24" t="inlineStr">
        <is>
          <t>Family income up to Rs 3.5 lakh per annum</t>
        </is>
      </c>
      <c r="I4" s="24" t="inlineStr">
        <is>
          <t>Class 8 students</t>
        </is>
      </c>
      <c r="J4" s="24" t="inlineStr">
        <is>
          <t>Annual (state-level selection test)</t>
        </is>
      </c>
      <c r="K4" s="24" t="inlineStr">
        <is>
          <t>Rs 12,000 per annum</t>
        </is>
      </c>
      <c r="L4" s="24" t="inlineStr">
        <is>
          <t>State application windows roughly August to October 2025; state exams held 2, 16 or 30 November 2025 depending on state (Chandigarh 30 Nov, HP 2 Nov, Uttarakhand 16 Nov)</t>
        </is>
      </c>
      <c r="M4" s="29" t="inlineStr">
        <is>
          <t>Closed</t>
        </is>
      </c>
      <c r="N4" s="24" t="inlineStr">
        <is>
          <t>2025-09;2025-10</t>
        </is>
      </c>
      <c r="O4" s="24" t="inlineStr">
        <is>
          <t>State SCERT portals, e.g. http://scertchd.edu.in</t>
        </is>
      </c>
      <c r="P4" s="24" t="inlineStr">
        <is>
          <t>https://scertchd.edu.in/sie/wp-content/uploads/2025/08/Guidelines-For-NMMSS-Examination-2025.pdf</t>
        </is>
      </c>
      <c r="Q4" s="24" t="inlineStr">
        <is>
          <t>For government, government-aided and local body school students; 1,00,000 scholarships nationally. Not directly verified in an issue; included as a standard school-scholarship notification in the magazine's coverage area.</t>
        </is>
      </c>
    </row>
    <row r="5" ht="15" customHeight="1" s="17">
      <c r="A5" s="24" t="n">
        <v>4</v>
      </c>
      <c r="B5" s="24" t="inlineStr">
        <is>
          <t>Scholarship / Fellowship</t>
        </is>
      </c>
      <c r="C5" s="24" t="inlineStr">
        <is>
          <t>UP Scholarship 2025-26 (Pre-Matric, Post-Matric and Dashmottar)</t>
        </is>
      </c>
      <c r="D5" s="24" t="inlineStr">
        <is>
          <t>Social Welfare Department, Government of Uttar Pradesh</t>
        </is>
      </c>
      <c r="E5" s="24" t="inlineStr">
        <is>
          <t>Class 9 and 10 (Pre-Matric); Class 11 and 12 (Post-Matric Inter); UG, PG, diploma, ITI, PhD (Dashmottar)</t>
        </is>
      </c>
      <c r="F5" s="24" t="inlineStr">
        <is>
          <t>SC, ST, OBC, General and Minority students</t>
        </is>
      </c>
      <c r="G5" s="24" t="inlineStr">
        <is>
          <t>All</t>
        </is>
      </c>
      <c r="H5" s="24" t="inlineStr">
        <is>
          <t>Varies by scheme and category (state norms apply)</t>
        </is>
      </c>
      <c r="I5" s="24" t="inlineStr">
        <is>
          <t>NA</t>
        </is>
      </c>
      <c r="J5" s="24" t="inlineStr">
        <is>
          <t>Annual</t>
        </is>
      </c>
      <c r="K5" s="24" t="inlineStr">
        <is>
          <t>Course-fee reimbursement and maintenance grant as per UP state norms, paid via PFMS</t>
        </is>
      </c>
      <c r="L5" s="24" t="inlineStr">
        <is>
          <t>Pre-Matric and Post-Matric Inter: 2 July to 30 October 2025 (extended to 6 December 2025); Dashmottar and outside-state: 10 July to 20 December 2025</t>
        </is>
      </c>
      <c r="M5" s="29" t="inlineStr">
        <is>
          <t>Closed</t>
        </is>
      </c>
      <c r="N5" s="24" t="inlineStr">
        <is>
          <t>2025-08;2025-09</t>
        </is>
      </c>
      <c r="O5" s="24" t="inlineStr">
        <is>
          <t>https://scholarship.up.gov.in</t>
        </is>
      </c>
      <c r="P5" s="24" t="inlineStr">
        <is>
          <t>https://articles.findmycollege.com/scholarships-last-date-for-up-scholarship-key-deadlines-updates/</t>
        </is>
      </c>
      <c r="Q5" s="24" t="inlineStr">
        <is>
          <t>Uttar Pradesh state scholarship through OTR-based portal; heavily used by the magazine's core Hindi-belt readership. Not directly verified in an issue; dates verified against notification coverage.</t>
        </is>
      </c>
    </row>
    <row r="6" ht="15" customHeight="1" s="17">
      <c r="A6" s="24" t="n">
        <v>5</v>
      </c>
      <c r="B6" s="24" t="inlineStr">
        <is>
          <t>Scholarship / Fellowship</t>
        </is>
      </c>
      <c r="C6" s="24" t="inlineStr">
        <is>
          <t>AICTE Pragati Scholarship Scheme for Girl Students 2025-26</t>
        </is>
      </c>
      <c r="D6" s="24" t="inlineStr">
        <is>
          <t>All India Council for Technical Education, Ministry of Education</t>
        </is>
      </c>
      <c r="E6" s="24" t="inlineStr">
        <is>
          <t>First year degree or diploma (also lateral entry) at AICTE-approved institutions</t>
        </is>
      </c>
      <c r="F6" s="24" t="inlineStr">
        <is>
          <t>Open to all categories</t>
        </is>
      </c>
      <c r="G6" s="24" t="inlineStr">
        <is>
          <t>Female (up to two girls per family)</t>
        </is>
      </c>
      <c r="H6" s="24" t="inlineStr">
        <is>
          <t>Family income up to Rs 8 lakh per annum</t>
        </is>
      </c>
      <c r="I6" s="24" t="inlineStr">
        <is>
          <t>NA</t>
        </is>
      </c>
      <c r="J6" s="24" t="inlineStr">
        <is>
          <t>Annual</t>
        </is>
      </c>
      <c r="K6" s="24" t="inlineStr">
        <is>
          <t>Rs 50,000 per year till course completion; about 5,000 degree and 5,000 diploma slots</t>
        </is>
      </c>
      <c r="L6" s="24" t="inlineStr">
        <is>
          <t>Portal open June 2025; last date 31 October 2025, later extended to 15 December 2025 on NSP</t>
        </is>
      </c>
      <c r="M6" s="29" t="inlineStr">
        <is>
          <t>Closed</t>
        </is>
      </c>
      <c r="N6" s="24" t="inlineStr">
        <is>
          <t>2025-07;2025-10</t>
        </is>
      </c>
      <c r="O6" s="24" t="inlineStr">
        <is>
          <t>https://scholarships.gov.in</t>
        </is>
      </c>
      <c r="P6" s="24" t="inlineStr">
        <is>
          <t>https://www.aimsr.edu.in/wp-content/uploads/2025/08/AICTE-Pragati-Scholarship-for-Girls-2025-26.pdf</t>
        </is>
      </c>
      <c r="Q6" s="24" t="inlineStr">
        <is>
          <t>Technical education scholarship for girls; institute and state verification deadlines followed. Not directly verified in an issue; well-known AICTE scheme within the magazine's coverage.</t>
        </is>
      </c>
    </row>
    <row r="7" ht="15" customHeight="1" s="17">
      <c r="A7" s="24" t="n">
        <v>6</v>
      </c>
      <c r="B7" s="24" t="inlineStr">
        <is>
          <t>Scholarship / Fellowship</t>
        </is>
      </c>
      <c r="C7" s="24" t="inlineStr">
        <is>
          <t>AICTE Saksham Scholarship Scheme for Specially-Abled Students 2025-26</t>
        </is>
      </c>
      <c r="D7" s="24" t="inlineStr">
        <is>
          <t>All India Council for Technical Education, Ministry of Education</t>
        </is>
      </c>
      <c r="E7" s="24" t="inlineStr">
        <is>
          <t>First year degree or diploma (also lateral entry) at AICTE-approved institutions</t>
        </is>
      </c>
      <c r="F7" s="24" t="inlineStr">
        <is>
          <t>Open to all categories; disability of 40 percent or more required</t>
        </is>
      </c>
      <c r="G7" s="24" t="inlineStr">
        <is>
          <t>All (specially-abled students)</t>
        </is>
      </c>
      <c r="H7" s="24" t="inlineStr">
        <is>
          <t>Family income up to Rs 8 lakh per annum as per AICTE scheme guidelines</t>
        </is>
      </c>
      <c r="I7" s="24" t="inlineStr">
        <is>
          <t>NA</t>
        </is>
      </c>
      <c r="J7" s="24" t="inlineStr">
        <is>
          <t>Annual</t>
        </is>
      </c>
      <c r="K7" s="24" t="inlineStr">
        <is>
          <t>Up to Rs 50,000 per annum depending on degree or diploma level</t>
        </is>
      </c>
      <c r="L7" s="24" t="inlineStr">
        <is>
          <t>Portal open June 2025; last date 31 October 2025 (INO verification till 15 November, SNO till 30 November 2025)</t>
        </is>
      </c>
      <c r="M7" s="29" t="inlineStr">
        <is>
          <t>Closed</t>
        </is>
      </c>
      <c r="N7" s="24" t="inlineStr">
        <is>
          <t>2025-07;2025-10</t>
        </is>
      </c>
      <c r="O7" s="24" t="inlineStr">
        <is>
          <t>https://scholarships.gov.in</t>
        </is>
      </c>
      <c r="P7" s="24" t="inlineStr">
        <is>
          <t>https://www.spnrecararia.ac.in/NoticeImages/scholarship.pdf</t>
        </is>
      </c>
      <c r="Q7" s="24" t="inlineStr">
        <is>
          <t>Technical education scholarship for differently-abled students. Not directly verified in an issue; facts taken from the AICTE advertisement of 18 June 2025.</t>
        </is>
      </c>
    </row>
    <row r="8" ht="15" customHeight="1" s="17">
      <c r="A8" s="24" t="n">
        <v>7</v>
      </c>
      <c r="B8" s="24" t="inlineStr">
        <is>
          <t>Scholarship / Fellowship</t>
        </is>
      </c>
      <c r="C8" s="24" t="inlineStr">
        <is>
          <t>AICTE Swanath Scholarship Scheme 2025-26</t>
        </is>
      </c>
      <c r="D8" s="24" t="inlineStr">
        <is>
          <t>All India Council for Technical Education, Ministry of Education</t>
        </is>
      </c>
      <c r="E8" s="24" t="inlineStr">
        <is>
          <t>Degree or diploma at AICTE-approved institutions; 1st to final year</t>
        </is>
      </c>
      <c r="F8" s="24" t="inlineStr">
        <is>
          <t>Open to all categories</t>
        </is>
      </c>
      <c r="G8" s="24" t="inlineStr">
        <is>
          <t>All (orphans; wards of armed forces personnel killed in action; wards of parents affected by COVID-19)</t>
        </is>
      </c>
      <c r="H8" s="24" t="inlineStr">
        <is>
          <t>Family income up to Rs 8 lakh per annum as per scheme guidelines</t>
        </is>
      </c>
      <c r="I8" s="24" t="inlineStr">
        <is>
          <t>NA</t>
        </is>
      </c>
      <c r="J8" s="24" t="inlineStr">
        <is>
          <t>Annual</t>
        </is>
      </c>
      <c r="K8" s="24" t="inlineStr">
        <is>
          <t>Up to Rs 50,000 per annum</t>
        </is>
      </c>
      <c r="L8" s="24" t="inlineStr">
        <is>
          <t>Portal open June 2025; last date 31 October 2025 (extended verification into November-December 2025)</t>
        </is>
      </c>
      <c r="M8" s="29" t="inlineStr">
        <is>
          <t>Closed</t>
        </is>
      </c>
      <c r="N8" s="24" t="inlineStr">
        <is>
          <t>2025-07;2025-10</t>
        </is>
      </c>
      <c r="O8" s="24" t="inlineStr">
        <is>
          <t>https://scholarships.gov.in</t>
        </is>
      </c>
      <c r="P8" s="24" t="inlineStr">
        <is>
          <t>https://www.spnrecararia.ac.in/NoticeImages/scholarship.pdf</t>
        </is>
      </c>
      <c r="Q8" s="24" t="inlineStr">
        <is>
          <t>Advertised together with Pragati and Saksham in the AICTE notice dated 18 June 2025. Not directly verified in an issue; within the magazine's normal scholarship coverage.</t>
        </is>
      </c>
    </row>
    <row r="9" ht="15" customHeight="1" s="17">
      <c r="A9" s="24" t="n">
        <v>8</v>
      </c>
      <c r="B9" s="24" t="inlineStr">
        <is>
          <t>Scholarship / Fellowship</t>
        </is>
      </c>
      <c r="C9" s="24" t="inlineStr">
        <is>
          <t>AICTE Pragati, Saksham and Swanath Scholarship Schemes 2026-27</t>
        </is>
      </c>
      <c r="D9" s="24" t="inlineStr">
        <is>
          <t>All India Council for Technical Education, Ministry of Education</t>
        </is>
      </c>
      <c r="E9" s="24" t="inlineStr">
        <is>
          <t>First year degree or diploma at AICTE-approved institutions (fresh and renewal)</t>
        </is>
      </c>
      <c r="F9" s="24" t="inlineStr">
        <is>
          <t>Open to all categories (scheme-specific conditions apply)</t>
        </is>
      </c>
      <c r="G9" s="24" t="inlineStr">
        <is>
          <t>Pragati for girls; Saksham for specially-abled; Swanath for orphans and wards of affected families</t>
        </is>
      </c>
      <c r="H9" s="24" t="inlineStr">
        <is>
          <t>Family income up to Rs 8 lakh per annum (per scheme guidelines)</t>
        </is>
      </c>
      <c r="I9" s="24" t="inlineStr">
        <is>
          <t>NA</t>
        </is>
      </c>
      <c r="J9" s="24" t="inlineStr">
        <is>
          <t>Annual (2026-27)</t>
        </is>
      </c>
      <c r="K9" s="24" t="inlineStr">
        <is>
          <t>Rs 50,000 per annum per scholar</t>
        </is>
      </c>
      <c r="L9" s="24" t="inlineStr">
        <is>
          <t>Scheme open from 1 June 2026; student applications open till 31 October 2026; verifications till 30 November 2026</t>
        </is>
      </c>
      <c r="M9" s="30" t="inlineStr">
        <is>
          <t>Open now</t>
        </is>
      </c>
      <c r="N9" s="24" t="inlineStr">
        <is>
          <t>2026-06;2026-07</t>
        </is>
      </c>
      <c r="O9" s="24" t="inlineStr">
        <is>
          <t>https://scholarships.gov.in</t>
        </is>
      </c>
      <c r="P9" s="24" t="inlineStr">
        <is>
          <t>https://scholarships.gov.in/All-Scholarships</t>
        </is>
      </c>
      <c r="Q9" s="24" t="inlineStr">
        <is>
          <t>2026-27 cycle of the three AICTE student-development schemes on the National Scholarship Portal; open as of 28 September 2026. Not directly verified in an issue; within normal coverage.</t>
        </is>
      </c>
    </row>
    <row r="10" ht="15" customHeight="1" s="17">
      <c r="A10" s="24" t="n">
        <v>9</v>
      </c>
      <c r="B10" s="24" t="inlineStr">
        <is>
          <t>Scholarship / Fellowship</t>
        </is>
      </c>
      <c r="C10" s="24" t="inlineStr">
        <is>
          <t>Begum Hazrat Mahal National Scholarship 2025-26</t>
        </is>
      </c>
      <c r="D10" s="24" t="inlineStr">
        <is>
          <t>Maulana Azad Education Foundation, Ministry of Minority Affairs</t>
        </is>
      </c>
      <c r="E10" s="24" t="inlineStr">
        <is>
          <t>Classes 9 to 12 in recognised schools</t>
        </is>
      </c>
      <c r="F10" s="24" t="inlineStr">
        <is>
          <t>Minority communities (Muslim, Christian, Sikh, Buddhist, Jain, Parsi)</t>
        </is>
      </c>
      <c r="G10" s="24" t="inlineStr">
        <is>
          <t>Female only</t>
        </is>
      </c>
      <c r="H10" s="24" t="inlineStr">
        <is>
          <t>Family income up to Rs 2 lakh per annum</t>
        </is>
      </c>
      <c r="I10" s="24" t="inlineStr">
        <is>
          <t>NA</t>
        </is>
      </c>
      <c r="J10" s="24" t="inlineStr">
        <is>
          <t>Annual (fresh application every class)</t>
        </is>
      </c>
      <c r="K10" s="24" t="inlineStr">
        <is>
          <t>Rs 5,000 per year for Class 9-10; Rs 6,000 per year for Class 11-12</t>
        </is>
      </c>
      <c r="L10" s="24" t="inlineStr">
        <is>
          <t>Applications via NSP during the 2025-26 window (portal opened mid-2025; scheme deadline commonly around September-October 2025 as per NSP timeline)</t>
        </is>
      </c>
      <c r="M10" s="29" t="inlineStr">
        <is>
          <t>Closed</t>
        </is>
      </c>
      <c r="N10" s="24" t="inlineStr">
        <is>
          <t>2025-07;2025-08</t>
        </is>
      </c>
      <c r="O10" s="24" t="inlineStr">
        <is>
          <t>https://scholarships.gov.in</t>
        </is>
      </c>
      <c r="P10" s="24" t="inlineStr">
        <is>
          <t>https://scholarships.gov.in/public/schemeGuidelines/1053_G.pdf</t>
        </is>
      </c>
      <c r="Q10" s="24" t="inlineStr">
        <is>
          <t>Earlier known as Maulana Azad National Scholarship; minimum 50 percent marks in previous class; no renewal, apply afresh each class. Exact 2025-26 deadline varies on NSP; not directly verified in an issue.</t>
        </is>
      </c>
    </row>
    <row r="11" ht="15" customHeight="1" s="17">
      <c r="A11" s="24" t="n">
        <v>10</v>
      </c>
      <c r="B11" s="24" t="inlineStr">
        <is>
          <t>Scholarship / Fellowship</t>
        </is>
      </c>
      <c r="C11" s="24" t="inlineStr">
        <is>
          <t>Prime Minister's Research Fellowship (PMRF) - May 2026 cycle</t>
        </is>
      </c>
      <c r="D11" s="24" t="inlineStr">
        <is>
          <t>Ministry of Education, implemented at PMRF Granting Institutes (IITs, IISc, IISERs, top NITs/CFTIs)</t>
        </is>
      </c>
      <c r="E11" s="24" t="inlineStr">
        <is>
          <t>PhD programmes in engineering, science and allied areas</t>
        </is>
      </c>
      <c r="F11" s="24" t="inlineStr">
        <is>
          <t>Open to all categories</t>
        </is>
      </c>
      <c r="G11" s="24" t="inlineStr">
        <is>
          <t>All</t>
        </is>
      </c>
      <c r="H11" s="24" t="inlineStr">
        <is>
          <t>NA</t>
        </is>
      </c>
      <c r="I11" s="24" t="inlineStr">
        <is>
          <t>NA</t>
        </is>
      </c>
      <c r="J11" s="24" t="inlineStr">
        <is>
          <t>Twice a year (May and December cycles)</t>
        </is>
      </c>
      <c r="K11" s="24" t="inlineStr">
        <is>
          <t>Rs 70,000-80,000 per month depending on year, plus Rs 2 lakh per year contingency grant; duration up to 5 years</t>
        </is>
      </c>
      <c r="L11" s="24" t="inlineStr">
        <is>
          <t>Nominations from early March 2026; application submission through April-May 2026; results around July 2026</t>
        </is>
      </c>
      <c r="M11" s="29" t="inlineStr">
        <is>
          <t>Closed</t>
        </is>
      </c>
      <c r="N11" s="24" t="inlineStr">
        <is>
          <t>2026-03;2026-04</t>
        </is>
      </c>
      <c r="O11" s="24" t="inlineStr">
        <is>
          <t>https://pmrf.in</t>
        </is>
      </c>
      <c r="P11" s="24" t="inlineStr">
        <is>
          <t>https://thefellowships.in/pmrf/</t>
        </is>
      </c>
      <c r="Q11" s="24" t="inlineStr">
        <is>
          <t>Direct and lateral entry routes; December 2026 cycle expected to open around early October 2026 (upcoming as of 28 September 2026). Not directly verified in an issue; well-known fellowship within coverage scope.</t>
        </is>
      </c>
    </row>
    <row r="12" ht="15" customHeight="1" s="17">
      <c r="A12" s="24" t="n">
        <v>11</v>
      </c>
      <c r="B12" s="24" t="inlineStr">
        <is>
          <t>Internship</t>
        </is>
      </c>
      <c r="C12" s="24" t="inlineStr">
        <is>
          <t>PM Internship Scheme (PMIS) Pilot Round 3</t>
        </is>
      </c>
      <c r="D12" s="24" t="inlineStr">
        <is>
          <t>Ministry of Corporate Affairs, Government of India</t>
        </is>
      </c>
      <c r="E12" s="24" t="inlineStr">
        <is>
          <t>Youth with minimum Class 10 qualification; eligibility expanded in April 2026 to final-year UG and PG students</t>
        </is>
      </c>
      <c r="F12" s="24" t="inlineStr">
        <is>
          <t>Open to all categories</t>
        </is>
      </c>
      <c r="G12" s="24" t="inlineStr">
        <is>
          <t>All</t>
        </is>
      </c>
      <c r="H12" s="24" t="inlineStr">
        <is>
          <t>Family income up to Rs 8 lakh per annum; no family member in permanent government job</t>
        </is>
      </c>
      <c r="I12" s="24" t="inlineStr">
        <is>
          <t>18-25 years (earlier rounds 21-24 years)</t>
        </is>
      </c>
      <c r="J12" s="24" t="inlineStr">
        <is>
          <t>Pilot project rounds; pilot extended till December 2026</t>
        </is>
      </c>
      <c r="K12" s="24" t="inlineStr">
        <is>
          <t>12-month paid internship in top companies; minimum financial assistance of Rs 9,000 per month (earlier structure Rs 5,000 per month stipend plus Rs 6,000 one-time grant)</t>
        </is>
      </c>
      <c r="L12" s="24" t="inlineStr">
        <is>
          <t>Round 3 began 20 March 2026 with revised guidelines; companies post internships on a rolling basis, applications accepted while a listing's window is open</t>
        </is>
      </c>
      <c r="M12" s="31" t="inlineStr">
        <is>
          <t>Rolling</t>
        </is>
      </c>
      <c r="N12" s="24" t="inlineStr">
        <is>
          <t>2026-04</t>
        </is>
      </c>
      <c r="O12" s="24" t="inlineStr">
        <is>
          <t>https://pminternship.mca.gov.in</t>
        </is>
      </c>
      <c r="P12" s="24" t="inlineStr">
        <is>
          <t>https://www.thehindubusinessline.com/news/education/final-year-ugpg-students-can-now-apply-under-pm-internship-scheme/article70893021.ece</t>
        </is>
      </c>
      <c r="Q12" s="24" t="inlineStr">
        <is>
          <t>Round 2 of the pilot closed 31 March 2025; over 16,060 interns had joined rounds 1 and 2 by March 2026. Eligible employer pool widened to top 2,000 CSR companies. Not directly verified in an issue; major internship news within the magazine's coverage.</t>
        </is>
      </c>
    </row>
    <row r="13" ht="15" customHeight="1" s="17">
      <c r="A13" s="24" t="n">
        <v>12</v>
      </c>
      <c r="B13" s="24" t="inlineStr">
        <is>
          <t>Internship</t>
        </is>
      </c>
      <c r="C13" s="24" t="inlineStr">
        <is>
          <t>NITI Aayog Internship Scheme</t>
        </is>
      </c>
      <c r="D13" s="24" t="inlineStr">
        <is>
          <t>NITI Aayog, Government of India</t>
        </is>
      </c>
      <c r="E13" s="24" t="inlineStr">
        <is>
          <t>Undergraduate and postgraduate students and research scholars in recognised universities in India and abroad</t>
        </is>
      </c>
      <c r="F13" s="24" t="inlineStr">
        <is>
          <t>Open to all categories</t>
        </is>
      </c>
      <c r="G13" s="24" t="inlineStr">
        <is>
          <t>All</t>
        </is>
      </c>
      <c r="H13" s="24" t="inlineStr">
        <is>
          <t>NA</t>
        </is>
      </c>
      <c r="I13" s="24" t="inlineStr">
        <is>
          <t>NA</t>
        </is>
      </c>
      <c r="J13" s="24" t="inlineStr">
        <is>
          <t>Rolling monthly intake (application window 1st-10th of every month)</t>
        </is>
      </c>
      <c r="K13" s="24" t="inlineStr">
        <is>
          <t>Unpaid internship with certificate; work with NITI verticals, divisions and cells</t>
        </is>
      </c>
      <c r="L13" s="24" t="inlineStr">
        <is>
          <t>Online application link open from the 1st to the 10th of every month on the NITI portal</t>
        </is>
      </c>
      <c r="M13" s="31" t="inlineStr">
        <is>
          <t>Rolling</t>
        </is>
      </c>
      <c r="N13" s="24" t="inlineStr">
        <is>
          <t>2025-05</t>
        </is>
      </c>
      <c r="O13" s="24" t="inlineStr">
        <is>
          <t>https://niti.gov.in/internship</t>
        </is>
      </c>
      <c r="P13" s="24" t="inlineStr">
        <is>
          <t>https://niti.gov.in/internship</t>
        </is>
      </c>
      <c r="Q13" s="24" t="inlineStr">
        <is>
          <t>Recurring scheme, available throughout the April 2025 to September 2026 window; the magazine periodically carries such internship notices. Exact issue placement not directly verified.</t>
        </is>
      </c>
    </row>
    <row r="14" ht="15" customHeight="1" s="17">
      <c r="A14" s="24" t="n">
        <v>13</v>
      </c>
      <c r="B14" s="24" t="inlineStr">
        <is>
          <t>Admission / Entrance Exam</t>
        </is>
      </c>
      <c r="C14" s="24" t="inlineStr">
        <is>
          <t>GATE 2026 (Graduate Aptitude Test in Engineering)</t>
        </is>
      </c>
      <c r="D14" s="24" t="inlineStr">
        <is>
          <t>IIT Guwahati (organising institute) on behalf of IISc and IITs, Ministry of Education</t>
        </is>
      </c>
      <c r="E14" s="24" t="inlineStr">
        <is>
          <t>Admission to Master's, direct doctoral and doctoral programmes in engineering, technology, science, architecture, humanities</t>
        </is>
      </c>
      <c r="F14" s="24" t="inlineStr">
        <is>
          <t>Open to all categories</t>
        </is>
      </c>
      <c r="G14" s="24" t="inlineStr">
        <is>
          <t>All</t>
        </is>
      </c>
      <c r="H14" s="24" t="inlineStr">
        <is>
          <t>NA</t>
        </is>
      </c>
      <c r="I14" s="24" t="inlineStr">
        <is>
          <t>No age limit</t>
        </is>
      </c>
      <c r="J14" s="24" t="inlineStr">
        <is>
          <t>Once a year (30 test papers; computer based test)</t>
        </is>
      </c>
      <c r="K14" s="24" t="inlineStr">
        <is>
          <t>Application fee Rs 1,000 (female and SC/ST/PwD) to Rs 2,000 (others) per paper in regular period; qualifying score gives access to MoE-supported PG admission with possible financial assistance</t>
        </is>
      </c>
      <c r="L14" s="24" t="inlineStr">
        <is>
          <t>Registration 28 August to 7 October 2025 (regular; extended with late fee till 13 October 2025); exams 7, 8, 14 and 15 February 2026; results 19 March 2026</t>
        </is>
      </c>
      <c r="M14" s="29" t="inlineStr">
        <is>
          <t>Closed</t>
        </is>
      </c>
      <c r="N14" s="24" t="inlineStr">
        <is>
          <t>2025-09;2025-10</t>
        </is>
      </c>
      <c r="O14" s="24" t="inlineStr">
        <is>
          <t>https://gate2026.iitg.ac.in</t>
        </is>
      </c>
      <c r="P14" s="24" t="inlineStr">
        <is>
          <t>https://gate2026.iitg.ac.in/important-dates.html</t>
        </is>
      </c>
      <c r="Q14" s="24" t="inlineStr">
        <is>
          <t>New Energy Science (XE-I) sectional paper introduced; GATE scores also used by some PSUs for recruitment (recruitment not logged here). Issue placement not directly verified; GATE notifications are a staple of the magazine's exam-notice coverage.</t>
        </is>
      </c>
    </row>
    <row r="15" ht="15" customHeight="1" s="17">
      <c r="A15" s="24" t="n">
        <v>14</v>
      </c>
      <c r="B15" s="24" t="inlineStr">
        <is>
          <t>Admission / Entrance Exam</t>
        </is>
      </c>
      <c r="C15" s="24" t="inlineStr">
        <is>
          <t>GATE 2027 (Graduate Aptitude Test in Engineering)</t>
        </is>
      </c>
      <c r="D15" s="24" t="inlineStr">
        <is>
          <t>IIT Madras (organising institute) on behalf of IISc and IITs, Ministry of Education</t>
        </is>
      </c>
      <c r="E15" s="24" t="inlineStr">
        <is>
          <t>Admission to Master's and doctoral programmes in engineering, technology, science, commerce, arts, architecture, humanities</t>
        </is>
      </c>
      <c r="F15" s="24" t="inlineStr">
        <is>
          <t>Open to all categories</t>
        </is>
      </c>
      <c r="G15" s="24" t="inlineStr">
        <is>
          <t>All</t>
        </is>
      </c>
      <c r="H15" s="24" t="inlineStr">
        <is>
          <t>NA</t>
        </is>
      </c>
      <c r="I15" s="24" t="inlineStr">
        <is>
          <t>No age limit (per GATE norms)</t>
        </is>
      </c>
      <c r="J15" s="24" t="inlineStr">
        <is>
          <t>Once a year (30 test papers)</t>
        </is>
      </c>
      <c r="K15" s="24" t="inlineStr">
        <is>
          <t>Application fee per GATE 2027 fee schedule on the portal; qualifying score valid 3 years for PG admission with possible financial assistance</t>
        </is>
      </c>
      <c r="L15" s="24" t="inlineStr">
        <is>
          <t>GOAPS registration portal opened 27 September 2026; regular registration closes 5 October 2026; exams 6-7, 13-14 and 20-21 February 2027; results 19 March 2027</t>
        </is>
      </c>
      <c r="M15" s="30" t="inlineStr">
        <is>
          <t>Open now</t>
        </is>
      </c>
      <c r="N15" s="24" t="inlineStr">
        <is>
          <t>2026-09</t>
        </is>
      </c>
      <c r="O15" s="24" t="inlineStr">
        <is>
          <t>https://gate2027.iitm.ac.in</t>
        </is>
      </c>
      <c r="P15" s="24" t="inlineStr">
        <is>
          <t>https://gate2027.iitm.ac.in/</t>
        </is>
      </c>
      <c r="Q15" s="24" t="inlineStr">
        <is>
          <t>DigiLocker-based registration mandatory for Indian nationals; open as of 28 September 2026. Issue placement not directly verified; new GATE notification falls squarely in the magazine's coverage.</t>
        </is>
      </c>
    </row>
    <row r="16" ht="15" customHeight="1" s="17">
      <c r="A16" s="24" t="n">
        <v>15</v>
      </c>
      <c r="B16" s="24" t="inlineStr">
        <is>
          <t>Admission / Entrance Exam</t>
        </is>
      </c>
      <c r="C16" s="24" t="inlineStr">
        <is>
          <t>CUET UG 2026 (Common University Entrance Test - Undergraduate)</t>
        </is>
      </c>
      <c r="D16" s="24" t="inlineStr">
        <is>
          <t>National Testing Agency, Ministry of Education</t>
        </is>
      </c>
      <c r="E16" s="24" t="inlineStr">
        <is>
          <t>Admission to undergraduate programmes in central, state, deemed and private participating universities</t>
        </is>
      </c>
      <c r="F16" s="24" t="inlineStr">
        <is>
          <t>Open to all categories</t>
        </is>
      </c>
      <c r="G16" s="24" t="inlineStr">
        <is>
          <t>All</t>
        </is>
      </c>
      <c r="H16" s="24" t="inlineStr">
        <is>
          <t>NA</t>
        </is>
      </c>
      <c r="I16" s="24" t="inlineStr">
        <is>
          <t>NA</t>
        </is>
      </c>
      <c r="J16" s="24" t="inlineStr">
        <is>
          <t>Once a year</t>
        </is>
      </c>
      <c r="K16" s="24" t="inlineStr">
        <is>
          <t>Application fee as per NTA information bulletin; single test for admission to participating universities across the country</t>
        </is>
      </c>
      <c r="L16" s="24" t="inlineStr">
        <is>
          <t>Applications 3 to 30 January 2026 (with a later re-opening window announced by NTA); exams 11-31 May 2026 (tentative) with rescheduled papers on 31 May and 6-7 June 2026 after the Eid-ul-Azha postponement; results declared later in 2026</t>
        </is>
      </c>
      <c r="M16" s="29" t="inlineStr">
        <is>
          <t>Closed</t>
        </is>
      </c>
      <c r="N16" s="24" t="inlineStr">
        <is>
          <t>2026-01;2026-02</t>
        </is>
      </c>
      <c r="O16" s="24" t="inlineStr">
        <is>
          <t>https://cuet.nta.nic.in</t>
        </is>
      </c>
      <c r="P16" s="24" t="inlineStr">
        <is>
          <t>https://cdnbbsr.s3waas.gov.in/s3d1a21da7bca4abff8b0b61b87597de73/uploads/2026/01/202601031633478370.pdf</t>
        </is>
      </c>
      <c r="Q16" s="24" t="inlineStr">
        <is>
          <t>Computer based test; CUET toppers and result notices were widely covered in 2026. Not directly verified in an issue; CUET notifications are standard magazine coverage.</t>
        </is>
      </c>
    </row>
    <row r="17" ht="15" customHeight="1" s="17">
      <c r="A17" s="24" t="n">
        <v>16</v>
      </c>
      <c r="B17" s="24" t="inlineStr">
        <is>
          <t>Admission / Entrance Exam</t>
        </is>
      </c>
      <c r="C17" s="24" t="inlineStr">
        <is>
          <t>CUET PG 2026 (Common University Entrance Test - Postgraduate)</t>
        </is>
      </c>
      <c r="D17" s="24" t="inlineStr">
        <is>
          <t>National Testing Agency, Ministry of Education</t>
        </is>
      </c>
      <c r="E17" s="24" t="inlineStr">
        <is>
          <t>Admission to postgraduate programmes in participating central, state, deemed and private universities</t>
        </is>
      </c>
      <c r="F17" s="24" t="inlineStr">
        <is>
          <t>Open to all categories</t>
        </is>
      </c>
      <c r="G17" s="24" t="inlineStr">
        <is>
          <t>All</t>
        </is>
      </c>
      <c r="H17" s="24" t="inlineStr">
        <is>
          <t>NA</t>
        </is>
      </c>
      <c r="I17" s="24" t="inlineStr">
        <is>
          <t>NA</t>
        </is>
      </c>
      <c r="J17" s="24" t="inlineStr">
        <is>
          <t>Once a year</t>
        </is>
      </c>
      <c r="K17" s="24" t="inlineStr">
        <is>
          <t>Application fee as per NTA information bulletin; computer based test for PG admission across participating universities</t>
        </is>
      </c>
      <c r="L17" s="24" t="inlineStr">
        <is>
          <t>Registration 14 December 2025 to 20 January 2026 (fee payment to 14 January with extensions); correction window 18-20 January 2026; exams 6 to 27 March 2026; result declared later in 2026</t>
        </is>
      </c>
      <c r="M17" s="29" t="inlineStr">
        <is>
          <t>Closed</t>
        </is>
      </c>
      <c r="N17" s="24" t="inlineStr">
        <is>
          <t>2025-12;2026-01</t>
        </is>
      </c>
      <c r="O17" s="24" t="inlineStr">
        <is>
          <t>https://exams.nta.nic.in/cuet-pg/</t>
        </is>
      </c>
      <c r="P17" s="24" t="inlineStr">
        <is>
          <t>https://cdnbbsr.s3waas.gov.in/s388a839f2f6f1427879fc33ee4acf4f66/uploads/2025/12/202512241753395117.pdf</t>
        </is>
      </c>
      <c r="Q17" s="24" t="inlineStr">
        <is>
          <t>Exam held across multiple subject-wise dates in March 2026. Not directly verified in an issue; within the magazine's normal entrance-exam coverage.</t>
        </is>
      </c>
    </row>
    <row r="18" ht="15" customHeight="1" s="17">
      <c r="A18" s="24" t="n">
        <v>17</v>
      </c>
      <c r="B18" s="24" t="inlineStr">
        <is>
          <t>Admission / Entrance Exam</t>
        </is>
      </c>
      <c r="C18" s="24" t="inlineStr">
        <is>
          <t>JEE Main 2026 (Joint Entrance Examination Main, Sessions 1 and 2)</t>
        </is>
      </c>
      <c r="D18" s="24" t="inlineStr">
        <is>
          <t>National Testing Agency, Ministry of Education</t>
        </is>
      </c>
      <c r="E18" s="24" t="inlineStr">
        <is>
          <t>Admission to BE, BTech, BArch and BPlanning programmes (NITs, IIITs, CFTIs and others)</t>
        </is>
      </c>
      <c r="F18" s="24" t="inlineStr">
        <is>
          <t>Open to all categories</t>
        </is>
      </c>
      <c r="G18" s="24" t="inlineStr">
        <is>
          <t>All</t>
        </is>
      </c>
      <c r="H18" s="24" t="inlineStr">
        <is>
          <t>NA</t>
        </is>
      </c>
      <c r="I18" s="24" t="inlineStr">
        <is>
          <t>NA</t>
        </is>
      </c>
      <c r="J18" s="24" t="inlineStr">
        <is>
          <t>Twice a year (January and April sessions)</t>
        </is>
      </c>
      <c r="K18" s="24" t="inlineStr">
        <is>
          <t>Application fee as per NTA bulletin; scores used for engineering admission and as JEE Advanced qualifier</t>
        </is>
      </c>
      <c r="L18" s="24" t="inlineStr">
        <is>
          <t>Session 1 applications 31 October to 27 November 2025, exams 21-30 January 2026; Session 2 applications from late January 2026, exams 2-9 April 2026</t>
        </is>
      </c>
      <c r="M18" s="29" t="inlineStr">
        <is>
          <t>Closed</t>
        </is>
      </c>
      <c r="N18" s="24" t="inlineStr">
        <is>
          <t>2025-11;2025-12</t>
        </is>
      </c>
      <c r="O18" s="24" t="inlineStr">
        <is>
          <t>https://jeemain.nta.nic.in</t>
        </is>
      </c>
      <c r="P18" s="24" t="inlineStr">
        <is>
          <t>https://www.timesnownews.com/education/jee-main-2026-session-1-registration-link-deadline-exam-date-admit-card-correction-window-jeemain-nta-nic-in-article-153213608</t>
        </is>
      </c>
      <c r="Q18" s="24" t="inlineStr">
        <is>
          <t>Two-session computer based test. Not directly verified in an issue; JEE notifications are core exam-notice coverage for the magazine.</t>
        </is>
      </c>
    </row>
    <row r="19" ht="15" customHeight="1" s="17">
      <c r="A19" s="24" t="n">
        <v>18</v>
      </c>
      <c r="B19" s="24" t="inlineStr">
        <is>
          <t>Admission / Entrance Exam</t>
        </is>
      </c>
      <c r="C19" s="24" t="inlineStr">
        <is>
          <t>NEET UG 2026 (National Eligibility cum Entrance Test - Undergraduate)</t>
        </is>
      </c>
      <c r="D19" s="24" t="inlineStr">
        <is>
          <t>National Testing Agency, Ministry of Education and National Medical Commission</t>
        </is>
      </c>
      <c r="E19" s="24" t="inlineStr">
        <is>
          <t>Admission to MBBS, BDS, AYUSH (BAMS, BUMS, BSMS, BHMS), BVSc and AH, and BSc Nursing (MNS) courses</t>
        </is>
      </c>
      <c r="F19" s="24" t="inlineStr">
        <is>
          <t>Open to all categories</t>
        </is>
      </c>
      <c r="G19" s="24" t="inlineStr">
        <is>
          <t>All</t>
        </is>
      </c>
      <c r="H19" s="24" t="inlineStr">
        <is>
          <t>NA</t>
        </is>
      </c>
      <c r="I19" s="24" t="inlineStr">
        <is>
          <t>NA</t>
        </is>
      </c>
      <c r="J19" s="24" t="inlineStr">
        <is>
          <t>Once a year</t>
        </is>
      </c>
      <c r="K19" s="24" t="inlineStr">
        <is>
          <t>Application fee for centres in India: General Rs 1,700; General-EWS/OBC-NCL Rs 1,600; SC/ST/PwBD/third gender Rs 1,000 (plus charges)</t>
        </is>
      </c>
      <c r="L19" s="24" t="inlineStr">
        <is>
          <t>Applications 8 February to 8 March 2026 (last date extended by NTA); correction window 10-12 March 2026; exam 3 May 2026 (2-5 PM, pen and paper)</t>
        </is>
      </c>
      <c r="M19" s="29" t="inlineStr">
        <is>
          <t>Closed</t>
        </is>
      </c>
      <c r="N19" s="24" t="inlineStr">
        <is>
          <t>2026-02</t>
        </is>
      </c>
      <c r="O19" s="24" t="inlineStr">
        <is>
          <t>https://neet.nta.nic.in</t>
        </is>
      </c>
      <c r="P19" s="24" t="inlineStr">
        <is>
          <t>https://neet.nta.nic.in/</t>
        </is>
      </c>
      <c r="Q19" s="24" t="inlineStr">
        <is>
          <t>Conducted in 13 languages; fee refund and answer key notices followed in mid-2026. Not directly verified in an issue; NEET is among the magazine's most regular entrance-exam items.</t>
        </is>
      </c>
    </row>
    <row r="20" ht="15" customHeight="1" s="17">
      <c r="A20" s="24" t="n">
        <v>19</v>
      </c>
      <c r="B20" s="24" t="inlineStr">
        <is>
          <t>Admission / Entrance Exam</t>
        </is>
      </c>
      <c r="C20" s="24" t="inlineStr">
        <is>
          <t>CLAT 2026 (Common Law Admission Test)</t>
        </is>
      </c>
      <c r="D20" s="24" t="inlineStr">
        <is>
          <t>Consortium of National Law Universities</t>
        </is>
      </c>
      <c r="E20" s="24" t="inlineStr">
        <is>
          <t>Admission to 5-year integrated LLB (Hons) and one-year LLM programmes at 25 National Law Universities</t>
        </is>
      </c>
      <c r="F20" s="24" t="inlineStr">
        <is>
          <t>Open to all categories</t>
        </is>
      </c>
      <c r="G20" s="24" t="inlineStr">
        <is>
          <t>All</t>
        </is>
      </c>
      <c r="H20" s="24" t="inlineStr">
        <is>
          <t>NA</t>
        </is>
      </c>
      <c r="I20" s="24" t="inlineStr">
        <is>
          <t>NA</t>
        </is>
      </c>
      <c r="J20" s="24" t="inlineStr">
        <is>
          <t>Once a year (offline exam)</t>
        </is>
      </c>
      <c r="K20" s="24" t="inlineStr">
        <is>
          <t>Application fee as per Consortium schedule; common test for NLUs across the country</t>
        </is>
      </c>
      <c r="L20" s="24" t="inlineStr">
        <is>
          <t>Applications 1 August 2025 to 31 October 2025, extended to 7 November 2025; exam 7 December 2025 (2-4 PM; extra 40 minutes for PwD candidates)</t>
        </is>
      </c>
      <c r="M20" s="29" t="inlineStr">
        <is>
          <t>Closed</t>
        </is>
      </c>
      <c r="N20" s="24" t="inlineStr">
        <is>
          <t>2025-08;2025-09</t>
        </is>
      </c>
      <c r="O20" s="24" t="inlineStr">
        <is>
          <t>https://consortiumofnlus.ac.in</t>
        </is>
      </c>
      <c r="P20" s="24" t="inlineStr">
        <is>
          <t>https://consortiumofnlus.ac.in/clat-2026/ug-instructions.html</t>
        </is>
      </c>
      <c r="Q20" s="24" t="inlineStr">
        <is>
          <t>Law entrance exam organised by the Consortium of NLUs. Not directly verified in an issue; career-exam notices of this kind fall within the magazine's normal coverage.</t>
        </is>
      </c>
    </row>
    <row r="21" ht="15" customHeight="1" s="17">
      <c r="A21" s="24" t="n">
        <v>20</v>
      </c>
      <c r="B21" s="24" t="inlineStr">
        <is>
          <t>Admission / Entrance Exam</t>
        </is>
      </c>
      <c r="C21" s="24" t="inlineStr">
        <is>
          <t>UP B.Ed Joint Entrance Examination (JEE) 2026</t>
        </is>
      </c>
      <c r="D21" s="24" t="inlineStr">
        <is>
          <t>Bundelkhand University, Jhansi (for universities across Uttar Pradesh)</t>
        </is>
      </c>
      <c r="E21" s="24" t="inlineStr">
        <is>
          <t>Admission to the two-year B.Ed programme in UP universities and colleges</t>
        </is>
      </c>
      <c r="F21" s="24" t="inlineStr">
        <is>
          <t>Open to all categories</t>
        </is>
      </c>
      <c r="G21" s="24" t="inlineStr">
        <is>
          <t>All</t>
        </is>
      </c>
      <c r="H21" s="24" t="inlineStr">
        <is>
          <t>NA</t>
        </is>
      </c>
      <c r="I21" s="24" t="inlineStr">
        <is>
          <t>Minimum 15 years; no upper age limit</t>
        </is>
      </c>
      <c r="J21" s="24" t="inlineStr">
        <is>
          <t>Once a year</t>
        </is>
      </c>
      <c r="K21" s="24" t="inlineStr">
        <is>
          <t>Application fee General/OBC/EWS Rs 1,400; SC/ST Rs 700; offline then CBT-mode entrance test as notified</t>
        </is>
      </c>
      <c r="L21" s="24" t="inlineStr">
        <is>
          <t>Registration 10 February to 30 April 2026 (with late fee 1-5 May 2026); correction window 6-10 May 2026; exam 31 May 2026; result June 2026; counselling from July 2026</t>
        </is>
      </c>
      <c r="M21" s="29" t="inlineStr">
        <is>
          <t>Closed</t>
        </is>
      </c>
      <c r="N21" s="24" t="inlineStr">
        <is>
          <t>2026-02;2026-03</t>
        </is>
      </c>
      <c r="O21" s="24" t="inlineStr">
        <is>
          <t>https://bujhansi.ac.in</t>
        </is>
      </c>
      <c r="P21" s="24" t="inlineStr">
        <is>
          <t>https://university.careers360.com/articles/up-bed-2026</t>
        </is>
      </c>
      <c r="Q21" s="24" t="inlineStr">
        <is>
          <t>Conducted for 19 participating UP universities; eligibility Bachelor's or Master's degree with 50 percent marks (55 percent for engineering graduates). Not directly verified in an issue; UP B.Ed JEE is standard coverage for this Hindi-belt magazine.</t>
        </is>
      </c>
    </row>
    <row r="22" ht="15" customHeight="1" s="17">
      <c r="A22" s="24" t="n">
        <v>21</v>
      </c>
      <c r="B22" s="24" t="inlineStr">
        <is>
          <t>Admission / Entrance Exam</t>
        </is>
      </c>
      <c r="C22" s="24" t="inlineStr">
        <is>
          <t>JEECUP 2026 - UP Joint Entrance Examination Polytechnic (UPJEE-P)</t>
        </is>
      </c>
      <c r="D22" s="24" t="inlineStr">
        <is>
          <t>Joint Entrance Examination Council, Uttar Pradesh</t>
        </is>
      </c>
      <c r="E22" s="24" t="inlineStr">
        <is>
          <t>Admission to diploma and polytechnic courses (engineering, pharmacy, technology and other groups A to K8) in UP government and private institutions</t>
        </is>
      </c>
      <c r="F22" s="24" t="inlineStr">
        <is>
          <t>Open to all categories</t>
        </is>
      </c>
      <c r="G22" s="24" t="inlineStr">
        <is>
          <t>All</t>
        </is>
      </c>
      <c r="H22" s="24" t="inlineStr">
        <is>
          <t>NA</t>
        </is>
      </c>
      <c r="I22" s="24" t="inlineStr">
        <is>
          <t>NA</t>
        </is>
      </c>
      <c r="J22" s="24" t="inlineStr">
        <is>
          <t>Once a year (computer based test)</t>
        </is>
      </c>
      <c r="K22" s="24" t="inlineStr">
        <is>
          <t>Application fee as per JEECUP notification; 100 MCQs from Physics, Chemistry and Maths with negative marking</t>
        </is>
      </c>
      <c r="L22" s="24" t="inlineStr">
        <is>
          <t>Registration 15 January 2026, deadline extended from 30 April to 17 May 2026; exams revised to 2-9 June 2026; counselling with seat allotment rounds through July 2026</t>
        </is>
      </c>
      <c r="M22" s="29" t="inlineStr">
        <is>
          <t>Closed</t>
        </is>
      </c>
      <c r="N22" s="24" t="inlineStr">
        <is>
          <t>2026-01;2026-02</t>
        </is>
      </c>
      <c r="O22" s="24" t="inlineStr">
        <is>
          <t>https://jeecup.admissions.nic.in</t>
        </is>
      </c>
      <c r="P22" s="24" t="inlineStr">
        <is>
          <t>https://indianexpress.com/article/education/jeecup-2026-exam-schedule-revised-jeecup-admissions-nic-in-10686879/</t>
        </is>
      </c>
      <c r="Q22" s="24" t="inlineStr">
        <is>
          <t>UP's state-level polytechnic entrance exam; admit cards released 25 May 2026. Not directly verified in an issue; a routine admission notification for the magazine's UP-centric readership.</t>
        </is>
      </c>
    </row>
    <row r="23" ht="15" customHeight="1" s="17">
      <c r="A23" s="24" t="n">
        <v>22</v>
      </c>
      <c r="B23" s="24" t="inlineStr">
        <is>
          <t>Admission / Entrance Exam</t>
        </is>
      </c>
      <c r="C23" s="24" t="inlineStr">
        <is>
          <t>IGNOU July 2026 Admission Cycle (ODL and Online programmes)</t>
        </is>
      </c>
      <c r="D23" s="24" t="inlineStr">
        <is>
          <t>Indira Gandhi National Open University, New Delhi</t>
        </is>
      </c>
      <c r="E23" s="24" t="inlineStr">
        <is>
          <t>Fresh admission to certificate, diploma, degree (UG), PG and online programmes in open and distance mode</t>
        </is>
      </c>
      <c r="F23" s="24" t="inlineStr">
        <is>
          <t>Open to all categories</t>
        </is>
      </c>
      <c r="G23" s="24" t="inlineStr">
        <is>
          <t>All</t>
        </is>
      </c>
      <c r="H23" s="24" t="inlineStr">
        <is>
          <t>NA</t>
        </is>
      </c>
      <c r="I23" s="24" t="inlineStr">
        <is>
          <t>NA</t>
        </is>
      </c>
      <c r="J23" s="24" t="inlineStr">
        <is>
          <t>Twice a year (January and July cycles)</t>
        </is>
      </c>
      <c r="K23" s="24" t="inlineStr">
        <is>
          <t>Programme-wise fee as per IGNOU prospectus; no entrance test for most programmes</t>
        </is>
      </c>
      <c r="L23" s="24" t="inlineStr">
        <is>
          <t>July 2026 cycle applications with deadline extended till 30 September 2026 (all courses except certificate and semester-based courses); re-registration for July 2026 session extended till 31 August 2026</t>
        </is>
      </c>
      <c r="M23" s="30" t="inlineStr">
        <is>
          <t>Open now</t>
        </is>
      </c>
      <c r="N23" s="24" t="inlineStr">
        <is>
          <t>2026-07;2026-08</t>
        </is>
      </c>
      <c r="O23" s="24" t="inlineStr">
        <is>
          <t>https://ignouadmission.samarth.edu.in</t>
        </is>
      </c>
      <c r="P23" s="24" t="inlineStr">
        <is>
          <t>https://ignouadmission.samarth.edu.in/</t>
        </is>
      </c>
      <c r="Q23" s="24" t="inlineStr">
        <is>
          <t>IGNOU is a NAAC A++ open university with 69 regional centres; admission window still open as of 28 September 2026. Not directly verified in an issue; IGNOU admission notices are recurring coverage in career magazines.</t>
        </is>
      </c>
    </row>
    <row r="24" ht="15" customHeight="1" s="17">
      <c r="A24" s="24" t="n">
        <v>23</v>
      </c>
      <c r="B24" s="24" t="inlineStr">
        <is>
          <t>Scholarship / Fellowship</t>
        </is>
      </c>
      <c r="C24" s="24" t="inlineStr">
        <is>
          <t>National Means-cum-Merit Scholarship Scheme (NMMSS) 2026-27</t>
        </is>
      </c>
      <c r="D24" s="24" t="inlineStr">
        <is>
          <t>Ministry of Education, Government of India</t>
        </is>
      </c>
      <c r="E24" s="24" t="inlineStr">
        <is>
          <t>Class IX students in state government, government-aided and local body schools (Class 8 pass)</t>
        </is>
      </c>
      <c r="F24" s="24" t="inlineStr">
        <is>
          <t>all (SC/ST candidates get 5 percentage-point relaxation in Class VII marks)</t>
        </is>
      </c>
      <c r="G24" s="24" t="inlineStr">
        <is>
          <t>all</t>
        </is>
      </c>
      <c r="H24" s="24" t="inlineStr">
        <is>
          <t>Parental income up to Rs 3.5 lakh per annum</t>
        </is>
      </c>
      <c r="I24" s="24" t="inlineStr">
        <is>
          <t>not stated</t>
        </is>
      </c>
      <c r="J24" s="24" t="inlineStr">
        <is>
          <t>2026-27</t>
        </is>
      </c>
      <c r="K24" s="24" t="inlineStr">
        <is>
          <t>Rs 12,000 per annum (DBT)</t>
        </is>
      </c>
      <c r="L24" s="24" t="inlineStr">
        <is>
          <t>Deadline extended to 31 Oct 2026 (L1 verification 15 Nov; L2 verification 30 Nov 2026)</t>
        </is>
      </c>
      <c r="M24" s="30" t="inlineStr">
        <is>
          <t>Open now</t>
        </is>
      </c>
      <c r="N24" s="24" t="inlineStr">
        <is>
          <t>2026-10</t>
        </is>
      </c>
      <c r="O24" s="24" t="inlineStr">
        <is>
          <t>https://scholarships.gov.in</t>
        </is>
      </c>
      <c r="P24" s="24" t="inlineStr">
        <is>
          <t>https://www.pib.gov.in/PressReleseDetailm.aspx?PRID=2317657&amp;lang=1&amp;reg=3</t>
        </is>
      </c>
      <c r="Q24" s="24" t="inlineStr">
        <is>
          <t>Appearance in magazine INFERRED from normal coverage (major national scholarship reported in current affairs) - NOT directly verified</t>
        </is>
      </c>
    </row>
    <row r="25" ht="15" customHeight="1" s="17">
      <c r="A25" s="24" t="n">
        <v>24</v>
      </c>
      <c r="B25" s="24" t="inlineStr">
        <is>
          <t>Admission / Entrance Exam</t>
        </is>
      </c>
      <c r="C25" s="24" t="inlineStr">
        <is>
          <t>UGC-NET December 2026</t>
        </is>
      </c>
      <c r="D25" s="24" t="inlineStr">
        <is>
          <t>National Testing Agency (NTA)</t>
        </is>
      </c>
      <c r="E25" s="24" t="inlineStr">
        <is>
          <t>Postgraduate (eligibility for Assistant Professor and PhD admission)</t>
        </is>
      </c>
      <c r="F25" s="24" t="inlineStr">
        <is>
          <t>all</t>
        </is>
      </c>
      <c r="G25" s="24" t="inlineStr">
        <is>
          <t>all</t>
        </is>
      </c>
      <c r="H25" s="24" t="inlineStr">
        <is>
          <t>not stated</t>
        </is>
      </c>
      <c r="I25" s="24" t="inlineStr">
        <is>
          <t>not stated</t>
        </is>
      </c>
      <c r="J25" s="24" t="inlineStr">
        <is>
          <t>December 2026 cycle</t>
        </is>
      </c>
      <c r="K25" s="24" t="inlineStr">
        <is>
          <t>Exam fee as prescribed by NTA</t>
        </is>
      </c>
      <c r="L25" s="24" t="inlineStr">
        <is>
          <t>Apply by 28 Oct 2026 (correction 2-4 Nov 2026; exam 14-21 Dec 2026)</t>
        </is>
      </c>
      <c r="M25" s="30" t="inlineStr">
        <is>
          <t>Open now</t>
        </is>
      </c>
      <c r="N25" s="24" t="inlineStr">
        <is>
          <t>2026-10</t>
        </is>
      </c>
      <c r="O25" s="24" t="inlineStr">
        <is>
          <t>https://ugcnet.nta.nic.in</t>
        </is>
      </c>
      <c r="P25" s="24" t="inlineStr">
        <is>
          <t>https://pratiyogitakosh.com/admission</t>
        </is>
      </c>
      <c r="Q25" s="24" t="inlineStr">
        <is>
          <t>Appearance in magazine INFERRED from normal coverage (national entrance/eligibility exam reported in current affairs) - NOT directly verified</t>
        </is>
      </c>
    </row>
    <row r="26" ht="15" customHeight="1" s="17">
      <c r="A26" s="24" t="n">
        <v>25</v>
      </c>
      <c r="B26" s="24" t="inlineStr">
        <is>
          <t>Admission / Entrance Exam</t>
        </is>
      </c>
      <c r="C26" s="24" t="inlineStr">
        <is>
          <t>CLAT 2027 (Common Law Admission Test)</t>
        </is>
      </c>
      <c r="D26" s="24" t="inlineStr">
        <is>
          <t>Consortium of National Law Universities</t>
        </is>
      </c>
      <c r="E26" s="24" t="inlineStr">
        <is>
          <t>Class 12 (10+2) or equivalent</t>
        </is>
      </c>
      <c r="F26" s="24" t="inlineStr">
        <is>
          <t>all</t>
        </is>
      </c>
      <c r="G26" s="24" t="inlineStr">
        <is>
          <t>all</t>
        </is>
      </c>
      <c r="H26" s="24" t="inlineStr">
        <is>
          <t>not stated</t>
        </is>
      </c>
      <c r="I26" s="24" t="inlineStr">
        <is>
          <t>not stated</t>
        </is>
      </c>
      <c r="J26" s="24" t="inlineStr">
        <is>
          <t>2027 admissions</t>
        </is>
      </c>
      <c r="K26" s="24" t="inlineStr">
        <is>
          <t>Exam fee as prescribed by the Consortium</t>
        </is>
      </c>
      <c r="L26" s="24" t="inlineStr">
        <is>
          <t>Apply by 31 Oct 2026 (exam 6 Dec 2026)</t>
        </is>
      </c>
      <c r="M26" s="30" t="inlineStr">
        <is>
          <t>Open now</t>
        </is>
      </c>
      <c r="N26" s="24" t="inlineStr">
        <is>
          <t>2026-10</t>
        </is>
      </c>
      <c r="O26" s="24" t="inlineStr">
        <is>
          <t>https://consortiumofnlus.ac.in</t>
        </is>
      </c>
      <c r="P26" s="24" t="inlineStr">
        <is>
          <t>https://pratiyogitakosh.com/admission</t>
        </is>
      </c>
      <c r="Q26" s="24" t="inlineStr">
        <is>
          <t>Appearance in magazine INFERRED from normal coverage (national entrance exam reported in current affairs) - NOT directly verified</t>
        </is>
      </c>
    </row>
    <row r="27">
      <c r="A27" s="16" t="n">
        <v>26</v>
      </c>
      <c r="B27" s="16" t="inlineStr">
        <is>
          <t>Admission / Entrance Exam</t>
        </is>
      </c>
      <c r="C27" s="16" t="inlineStr">
        <is>
          <t>Joint Entrance Examination (Main) 2027 - Session 1</t>
        </is>
      </c>
      <c r="D27" s="16" t="inlineStr">
        <is>
          <t>National Testing Agency (NTA)</t>
        </is>
      </c>
      <c r="E27" s="16" t="inlineStr">
        <is>
          <t>Class 12 / equivalent with PCM (Paper 1 BE/B.Tech); also B.Arch (Paper 2A) and B.Planning (Paper 2B)</t>
        </is>
      </c>
      <c r="F27" s="16" t="inlineStr">
        <is>
          <t>All categories (category-wise fee)</t>
        </is>
      </c>
      <c r="G27" s="16" t="inlineStr">
        <is>
          <t>Boys and girls</t>
        </is>
      </c>
      <c r="H27" s="16" t="inlineStr">
        <is>
          <t>Not applicable</t>
        </is>
      </c>
      <c r="I27" s="16" t="inlineStr">
        <is>
          <t>Not stated</t>
        </is>
      </c>
      <c r="J27" s="16" t="inlineStr">
        <is>
          <t>Annual (2027 session)</t>
        </is>
      </c>
      <c r="K27" s="16" t="inlineStr">
        <is>
          <t>Application fee from Rs.500 (SC/ST/PwD, Paper 1) to Rs.1,000 (General male), plus GST</t>
        </is>
      </c>
      <c r="L27" s="16" t="inlineStr">
        <is>
          <t>Application 24/10/2026 to 22/11/2026 (late fee to 26/11/2026); exam 20-28/01/2027</t>
        </is>
      </c>
      <c r="M27" s="16" t="inlineStr">
        <is>
          <t>Open</t>
        </is>
      </c>
      <c r="N27" s="16" t="inlineStr">
        <is>
          <t>2026-11</t>
        </is>
      </c>
      <c r="O27" s="16" t="inlineStr">
        <is>
          <t>jeemain.nta.nic.in</t>
        </is>
      </c>
      <c r="P27" s="16" t="inlineStr">
        <is>
          <t>https://jeemain.nta.nic.in ; https://cdnbbsr.s3waas.gov.in/s3f8e59f4b2fe7c5705bf878bbd494ccdf/uploads/2026/10/202610241890224107.pdf</t>
        </is>
      </c>
      <c r="Q27" s="16" t="inlineStr">
        <is>
          <t>INFERRED from normal coverage of major entrance exams. New 2027 cycle (the log already has JEE Main 2026). NTA notification and registration opened 24 October 2026.</t>
        </is>
      </c>
    </row>
    <row r="28">
      <c r="A28" s="16" t="n">
        <v>27</v>
      </c>
      <c r="B28" s="16" t="inlineStr">
        <is>
          <t>Scholarship / Fellowship</t>
        </is>
      </c>
      <c r="C28" s="16" t="inlineStr">
        <is>
          <t>PM YASASVI Central Sector Scheme of Top Class Education in Schools 2026-27 (OBC/EBC/DNT)</t>
        </is>
      </c>
      <c r="D28" s="16" t="inlineStr">
        <is>
          <t>Ministry of Social Justice and Empowerment, Government of India</t>
        </is>
      </c>
      <c r="E28" s="16" t="inlineStr">
        <is>
          <t>Class 9 and Class 11 students in recognised schools</t>
        </is>
      </c>
      <c r="F28" s="16" t="inlineStr">
        <is>
          <t>OBC / EBC / DNT</t>
        </is>
      </c>
      <c r="G28" s="16" t="inlineStr">
        <is>
          <t>Boys and girls</t>
        </is>
      </c>
      <c r="H28" s="16" t="inlineStr">
        <is>
          <t>As per scheme norms (verify on NSP)</t>
        </is>
      </c>
      <c r="I28" s="16" t="inlineStr">
        <is>
          <t>Not stated</t>
        </is>
      </c>
      <c r="J28" s="16" t="inlineStr">
        <is>
          <t>Annual (2026-27)</t>
        </is>
      </c>
      <c r="K28" s="16" t="inlineStr">
        <is>
          <t>Up to Rs.75,000-Rs.1,25,000 per year (tuition and allowances as per scheme)</t>
        </is>
      </c>
      <c r="L28" s="16" t="inlineStr">
        <is>
          <t>Fresh applications opened 22/10/2026; student application closes 30/11/2026 (verification up to 31/12/2026)</t>
        </is>
      </c>
      <c r="M28" s="16" t="inlineStr">
        <is>
          <t>Open</t>
        </is>
      </c>
      <c r="N28" s="16" t="inlineStr">
        <is>
          <t>2026-11</t>
        </is>
      </c>
      <c r="O28" s="16" t="inlineStr">
        <is>
          <t>scholarships.gov.in</t>
        </is>
      </c>
      <c r="P28" s="16" t="inlineStr">
        <is>
          <t>https://scholarships.gov.in/All-Scholarships ; https://scholarships.gov.in/</t>
        </is>
      </c>
      <c r="Q28" s="16" t="inlineStr">
        <is>
          <t>INFERRED from normal coverage of central scholarships. New 2026-27 cycle (the log already has PM YASASVI 2025-26); fresh applications reopened for OBC/EBC/DNT school students on the NSP.</t>
        </is>
      </c>
    </row>
    <row r="29">
      <c r="A29" s="16" t="n">
        <v>28</v>
      </c>
      <c r="B29" s="16" t="inlineStr">
        <is>
          <t>Scholarship / Fellowship</t>
        </is>
      </c>
      <c r="C29" s="16" t="inlineStr">
        <is>
          <t>IndiaAI Fellowship Programme 2026-27</t>
        </is>
      </c>
      <c r="D29" s="16" t="inlineStr">
        <is>
          <t>IndiaAI (Digital India Corporation), Ministry of Electronics and Information Technology (MeitY)</t>
        </is>
      </c>
      <c r="E29" s="16" t="inlineStr">
        <is>
          <t>Full-time UG, Integrated Dual Degree, PG and PhD students working on AI / related fields</t>
        </is>
      </c>
      <c r="F29" s="16" t="inlineStr">
        <is>
          <t>All categories</t>
        </is>
      </c>
      <c r="G29" s="16" t="inlineStr">
        <is>
          <t>Boys and girls</t>
        </is>
      </c>
      <c r="H29" s="16" t="inlineStr">
        <is>
          <t>Not stated</t>
        </is>
      </c>
      <c r="I29" s="16" t="inlineStr">
        <is>
          <t>Not stated</t>
        </is>
      </c>
      <c r="J29" s="16" t="inlineStr">
        <is>
          <t>Annual (2026-27)</t>
        </is>
      </c>
      <c r="K29" s="16" t="inlineStr">
        <is>
          <t>Up to Rs.1 lakh (UG/IDD), up to Rs.2 lakh (PG); PhD fellowship Rs.70,000-80,000 per month plus Rs.2 lakh per year research grant</t>
        </is>
      </c>
      <c r="L29" s="16" t="inlineStr">
        <is>
          <t>Applications open; last date 30/11/2026</t>
        </is>
      </c>
      <c r="M29" s="16" t="inlineStr">
        <is>
          <t>Open</t>
        </is>
      </c>
      <c r="N29" s="16" t="inlineStr">
        <is>
          <t>2026-10</t>
        </is>
      </c>
      <c r="O29" s="16" t="inlineStr">
        <is>
          <t>fellowship.indiaai.gov.in</t>
        </is>
      </c>
      <c r="P29" s="16" t="inlineStr">
        <is>
          <t>https://indianexpress.com/article/education/meity-indiaai-offers-fellowship-with-financial-support-up-to-rs-1-lakh-for-ug-students-rs-2-lakh-for-pg-students-govt-10930508/ ; https://fellowship.indiaai.gov.in/</t>
        </is>
      </c>
      <c r="Q29" s="16" t="inlineStr">
        <is>
          <t>INFERRED from normal coverage of central fellowships. Announced mid-October 2026 by IndiaAI/MeitY.</t>
        </is>
      </c>
    </row>
  </sheetData>
  <autoFilter ref="A1:Q26"/>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2026-09-28T06:29:37Z</dcterms:created>
  <dcterms:modified xmlns:dcterms="http://purl.org/dc/terms/" xmlns:xsi="http://www.w3.org/2001/XMLSchema-instance" xsi:type="dcterms:W3CDTF">2026-10-26T21:45:51Z</dcterms:modified>
  <cp:revision>0</cp:revision>
</cp:coreProperties>
</file>