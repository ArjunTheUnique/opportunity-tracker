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<sst xmlns="http://schemas.openxmlformats.org/spreadsheetml/2006/main" count="356" uniqueCount="234">
  <si>
    <t xml:space="preserve">Banking Services Chronicle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</si>
  <si>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</si>
  <si>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</si>
  <si>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</si>
  <si>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</si>
  <si>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</si>
  <si>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</si>
  <si>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</si>
  <si>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</si>
  <si>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</si>
  <si>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</si>
  <si>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</si>
  <si>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</si>
  <si>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</si>
  <si>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</si>
  <si>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</si>
  <si>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</si>
  <si>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</si>
  <si>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</si>
  <si>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</si>
  <si>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</si>
  <si>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</si>
  <si>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</si>
  <si>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</si>
  <si>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</si>
  <si>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</si>
  <si>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</si>
  <si>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</si>
  <si>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</si>
  <si>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</si>
  <si>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</si>
  <si>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</si>
  <si>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</si>
  <si>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</si>
  <si>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</si>
  <si>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</si>
  <si>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CAT 2025 (Common Admission Test)</t>
  </si>
  <si>
    <t xml:space="preserve">Indian Institutes of Management; conducted by IIM Kozhikode</t>
  </si>
  <si>
    <t xml:space="preserve">Graduates in any discipline; admission to MBA, PGP, PGDM at IIMs and 1,000+ B-schools</t>
  </si>
  <si>
    <t xml:space="preserve">all</t>
  </si>
  <si>
    <t xml:space="preserve">none</t>
  </si>
  <si>
    <t xml:space="preserve">no age limit</t>
  </si>
  <si>
    <t xml:space="preserve">Annual; exam 30 Nov 2025</t>
  </si>
  <si>
    <t xml:space="preserve">Application fee Rs 2,600 (Rs 1,300 for SC, ST and PwD)</t>
  </si>
  <si>
    <t xml:space="preserve">Registration 01 Aug 2025 to 20 Sep 2025 (extended from 13 Sep); exam 30 Nov 2025 in three sessions</t>
  </si>
  <si>
    <t xml:space="preserve">Closed</t>
  </si>
  <si>
    <t xml:space="preserve">2025-08</t>
  </si>
  <si>
    <t xml:space="preserve">iimcat.ac.in</t>
  </si>
  <si>
    <t xml:space="preserve">https://www.iimk.ac.in/uploads/announcements/CAT%202025%20Notification_20250727093201.pdf</t>
  </si>
  <si>
    <t xml:space="preserve">Notification dates verified from official IIM Kozhikode release; BSC print-issue appearance not directly verified but CAT notifications fall within the magazine's regular exam-coverage scope</t>
  </si>
  <si>
    <t xml:space="preserve">CAT 2026 (Common Admission Test)</t>
  </si>
  <si>
    <t xml:space="preserve">Indian Institutes of Management</t>
  </si>
  <si>
    <t xml:space="preserve">Graduates in any discipline; admission to MBA/PGP programmes of 21 IIMs, FMS, SPJIMR, MDI, IITs and IIFT</t>
  </si>
  <si>
    <t xml:space="preserve">Annual; exam 29 Nov 2026</t>
  </si>
  <si>
    <t xml:space="preserve">Application fee Rs 2,700 (Rs 1,350 for SC, ST and PwBD)</t>
  </si>
  <si>
    <t xml:space="preserve">Registration 03 Aug 2026 to 15 Sep 2026; exam 29 Nov 2026 in three sessions; admit cards from 04 Nov 2026</t>
  </si>
  <si>
    <t xml:space="preserve">2026-08</t>
  </si>
  <si>
    <t xml:space="preserve">https://cdn.digialm.com/per/g06/pub/32842/EForms/image/CAT2026/CAT_2026_Press_Release_26-07-2026.pdf</t>
  </si>
  <si>
    <t xml:space="preserve">Registration window closed 15 Sep 2026; exam still upcoming; dates verified from official press release; BSC issue appearance not directly verified</t>
  </si>
  <si>
    <t xml:space="preserve">XAT 2026 (Xavier Aptitude Test)</t>
  </si>
  <si>
    <t xml:space="preserve">XLRI Jamshedpur on behalf of Xavier Association of Management Institutes (XAMI)</t>
  </si>
  <si>
    <t xml:space="preserve">Graduates in any discipline; MBA/PGDM admission at XLRI and 250+ XAT-associated institutes</t>
  </si>
  <si>
    <t xml:space="preserve">Annual; exam 04 Jan 2026</t>
  </si>
  <si>
    <t xml:space="preserve">Registration fee Rs 2,200 plus Rs 200 per XLRI programme</t>
  </si>
  <si>
    <t xml:space="preserve">Registration 10 Jul 2025 to 11 Dec 2025 (deadline extended from 04 Dec); exam 04 Jan 2026, 2 pm to 5 pm</t>
  </si>
  <si>
    <t xml:space="preserve">2025-07</t>
  </si>
  <si>
    <t xml:space="preserve">xatonline.in</t>
  </si>
  <si>
    <t xml:space="preserve">https://www.xatonline.in/assets/pdf/XAT-e_Bulletin-2026.pdf</t>
  </si>
  <si>
    <t xml:space="preserve">Dates verified from official XAT e-bulletin and notification; BSC issue appearance not directly verified</t>
  </si>
  <si>
    <t xml:space="preserve">XAT 2027 (Xavier Aptitude Test)</t>
  </si>
  <si>
    <t xml:space="preserve">XLRI Jamshedpur on behalf of XAMI</t>
  </si>
  <si>
    <t xml:space="preserve">Graduates in any discipline; MBA/PGDM admission at XLRI and 250+ institutes</t>
  </si>
  <si>
    <t xml:space="preserve">Annual; exam 03 Jan 2027</t>
  </si>
  <si>
    <t xml:space="preserve">Registration fee approx Rs 2,200 (as per prior cycle)</t>
  </si>
  <si>
    <t xml:space="preserve">Registration 15 Jul 2026 to 06 Dec 2026; exam 03 Jan 2027, 2 pm to 5 pm; day-one registrants get first-choice test city</t>
  </si>
  <si>
    <t xml:space="preserve">Open now</t>
  </si>
  <si>
    <t xml:space="preserve">2026-07</t>
  </si>
  <si>
    <t xml:space="preserve">https://xatonline.in/registration</t>
  </si>
  <si>
    <t xml:space="preserve">Registration open as of 28 Sep 2026; dates verified from official XAT website; BSC issue appearance not directly verified</t>
  </si>
  <si>
    <t xml:space="preserve">MAT September 2025 session (Management Aptitude Test)</t>
  </si>
  <si>
    <t xml:space="preserve">All India Management Association (AIMA)</t>
  </si>
  <si>
    <t xml:space="preserve">Graduates in any discipline and final-year students; MBA/PGDM admission</t>
  </si>
  <si>
    <t xml:space="preserve">Four sessions a year; Sep 2025 session</t>
  </si>
  <si>
    <t xml:space="preserve">Application fee Rs 2,200 (single mode) or Rs 3,800 (PBT plus CBT)</t>
  </si>
  <si>
    <t xml:space="preserve">Registration 23 Jul to 15 Sep 2025 (PBT) and 22 Sep 2025 (CBT); PBT exam 21 Sep 2025; CBT exam 28 Sep 2025</t>
  </si>
  <si>
    <t xml:space="preserve">mat.aima.in</t>
  </si>
  <si>
    <t xml:space="preserve">https://www.jagranjosh.com/news/aima-announced-mat-2025-september-session-exam-dates-registration-starts-documents-required-details-here-180420</t>
  </si>
  <si>
    <t xml:space="preserve">Dates verified from AIMA announcement coverage; BSC issue appearance not directly verified</t>
  </si>
  <si>
    <t xml:space="preserve">MAT December 2025 session (Management Aptitude Test)</t>
  </si>
  <si>
    <t xml:space="preserve">Graduates in any discipline; MBA/PGDM admission for 2026 academic session at 60+ city test centres</t>
  </si>
  <si>
    <t xml:space="preserve">Four sessions a year; Dec 2025 session</t>
  </si>
  <si>
    <t xml:space="preserve">Registration opened 04 Nov 2025; closes 07 Dec 2025 (PBT) and 15 Dec 2025 (CBT); PBT exam 13 Dec 2025; CBT exam 21 Dec 2025</t>
  </si>
  <si>
    <t xml:space="preserve">2025-11</t>
  </si>
  <si>
    <t xml:space="preserve">https://aima.in/mat/</t>
  </si>
  <si>
    <t xml:space="preserve">Dates verified from AIMA official page; BSC issue appearance not directly verified</t>
  </si>
  <si>
    <t xml:space="preserve">MAT September 2026 session (Management Aptitude Test)</t>
  </si>
  <si>
    <t xml:space="preserve">Four sessions a year; Sep 2026 session</t>
  </si>
  <si>
    <t xml:space="preserve">Application fee Rs 2,200 approx (single mode; concession for both modes)</t>
  </si>
  <si>
    <t xml:space="preserve">Registration closed 07 Sep 2026 (PBT) and 14 Sep 2026 (CBT); PBT exam 13 Sep 2026; CBT exam 20 Sep 2026</t>
  </si>
  <si>
    <t xml:space="preserve">https://mat.aima.in/</t>
  </si>
  <si>
    <t xml:space="preserve">Dates verified from official AIMA MAT portal; coverage month approximate as schedule release date not confirmed; BSC issue appearance not directly verified</t>
  </si>
  <si>
    <t xml:space="preserve">CMAT 2026 (Common Management Admission Test)</t>
  </si>
  <si>
    <t xml:space="preserve">National Testing Agency (NTA)</t>
  </si>
  <si>
    <t xml:space="preserve">Graduates; admission to MBA/PGDM at AICTE-approved institutions for 2026-27 session</t>
  </si>
  <si>
    <t xml:space="preserve">Annual; exam 25 Jan 2026</t>
  </si>
  <si>
    <t xml:space="preserve">Application fee per NTA schedule (Gen approx Rs 2,000; reserved categories lower)</t>
  </si>
  <si>
    <t xml:space="preserve">Registration 17 Oct 2025 to 24 Nov 2025; exam 25 Jan 2026 in computer-based mode</t>
  </si>
  <si>
    <t xml:space="preserve">2025-10</t>
  </si>
  <si>
    <t xml:space="preserve">cmat.nta.nic.in</t>
  </si>
  <si>
    <t xml:space="preserve">https://cdnbbsr.s3waas.gov.in/s3a381c2c35c9157f6b67fd07d5a200ae1/uploads/2025/10/202510171049586023.pdf</t>
  </si>
  <si>
    <t xml:space="preserve">Registration dates verified from NTA public notice; BSC issue appearance not directly verified</t>
  </si>
  <si>
    <t xml:space="preserve">NMAT by GMAC 2025</t>
  </si>
  <si>
    <t xml:space="preserve">Graduate Management Admission Council (GMAC)</t>
  </si>
  <si>
    <t xml:space="preserve">Graduates; MBA/PGDM admission at NMAT-accepting B-schools like NMIMS, SDA Bocconi, XIMB</t>
  </si>
  <si>
    <t xml:space="preserve">Annual testing cycle; exam window 05 Nov to 19 Dec 2025</t>
  </si>
  <si>
    <t xml:space="preserve">Exam fee as per GMAC schedule (approx Rs 2,800 plus in prior cycles)</t>
  </si>
  <si>
    <t xml:space="preserve">Registration 01 Aug to 18 Oct 2025 (extended from 10 Oct); exam scheduling till 25 Oct 2025; retakes 06 Nov to 16 Dec 2025</t>
  </si>
  <si>
    <t xml:space="preserve">mba.com/exams/nmat</t>
  </si>
  <si>
    <t xml:space="preserve">https://www.gmac.com/why-gmac/gmac-news/gmac-press-releases/registration-for-nmat-2025</t>
  </si>
  <si>
    <t xml:space="preserve">Dates verified from official GMAC press release; BSC issue appearance not directly verified</t>
  </si>
  <si>
    <t xml:space="preserve">SNAP 2025 (Symbiosis National Aptitude Test)</t>
  </si>
  <si>
    <t xml:space="preserve">Symbiosis International (Deemed University)</t>
  </si>
  <si>
    <t xml:space="preserve">Graduates with minimum 50 percent marks; MBA/PGDM at 17 Symbiosis institutes including SIBM Pune and SCMHRD</t>
  </si>
  <si>
    <t xml:space="preserve">Annual; tests on 06, 14 and 20 Dec 2025</t>
  </si>
  <si>
    <t xml:space="preserve">SNAP registration fee Rs 2,250 per test (plus taxes)</t>
  </si>
  <si>
    <t xml:space="preserve">Registration 01 Aug to 20 Nov 2025; tests 06 Dec, 14 Dec and 20 Dec 2025; best score counted; result 09 Jan 2026</t>
  </si>
  <si>
    <t xml:space="preserve">snaptest.org</t>
  </si>
  <si>
    <t xml:space="preserve">https://dook8hgmmt8xh.cloudfront.net/PDF/SNAP-2025-Bulletin-12-Aug.pdf</t>
  </si>
  <si>
    <t xml:space="preserve">Dates verified from official SNAP bulletin; BSC issue appearance not directly verified</t>
  </si>
  <si>
    <t xml:space="preserve">ATMA 2025 July session (AIMS Test for Management Admissions)</t>
  </si>
  <si>
    <t xml:space="preserve">Association of Indian Management Schools (AIMS)</t>
  </si>
  <si>
    <t xml:space="preserve">Graduates with 50 percent marks (45 percent for SC and ST); MBA, MMS, PGDM admission at 750+ colleges</t>
  </si>
  <si>
    <t xml:space="preserve">all (45 percent eligibility threshold for SC and ST)</t>
  </si>
  <si>
    <t xml:space="preserve">no age bar</t>
  </si>
  <si>
    <t xml:space="preserve">Multiple sessions a year; July 2025 session</t>
  </si>
  <si>
    <t xml:space="preserve">Application fee as per AIMS schedule</t>
  </si>
  <si>
    <t xml:space="preserve">Registration 02 Jun 2025 to 15 Jul 2025 (extended to 17 Jul); centre-based online exam 27 Jul 2025, 2 pm to 5 pm</t>
  </si>
  <si>
    <t xml:space="preserve">2025-06</t>
  </si>
  <si>
    <t xml:space="preserve">atmaaims.com</t>
  </si>
  <si>
    <t xml:space="preserve">https://bschool.careers360.com/articles/atma-2025</t>
  </si>
  <si>
    <t xml:space="preserve">Dates verified from careers360 coverage of the official AIMS schedule; BSC issue appearance not directly verified</t>
  </si>
  <si>
    <t xml:space="preserve">IIBF Diploma in Banking and Finance (DB and F) 2026 May cycle</t>
  </si>
  <si>
    <t xml:space="preserve">Indian Institute of Banking and Finance (IIBF)</t>
  </si>
  <si>
    <t xml:space="preserve">Graduates aiming at banking careers; entry-level professional qualification recognised by banks</t>
  </si>
  <si>
    <t xml:space="preserve">Two cycles a year; May 2026 exams</t>
  </si>
  <si>
    <t xml:space="preserve">Exam fee as per IIBF slabs (normal fee plus Rs 100 and Rs 200 for late windows)</t>
  </si>
  <si>
    <t xml:space="preserve">Registration 02 Feb 2026 to 22 Feb 2026 in three fee slabs; exams 03, 09, 10 and 17 May 2026 (online)</t>
  </si>
  <si>
    <t xml:space="preserve">2026-02</t>
  </si>
  <si>
    <t xml:space="preserve">iibf.org.in</t>
  </si>
  <si>
    <t xml:space="preserve">https://www.iibf.org.in/diploma-banking-finance</t>
  </si>
  <si>
    <t xml:space="preserve">Dates verified from official IIBF schedule; second 2026 cycle registration scheduled from Aug 2026 was postponed per IIBF notice; squarely within BSC banking-career coverage</t>
  </si>
  <si>
    <t xml:space="preserve">NIBM PGDM (Banking and Financial Services) 2026-28</t>
  </si>
  <si>
    <t xml:space="preserve">National Institute of Bank Management (NIBM), Pune, established by RBI</t>
  </si>
  <si>
    <t xml:space="preserve">Graduates with minimum 50 percent marks (45 percent for reserved categories); two-year banking and finance PGDM</t>
  </si>
  <si>
    <t xml:space="preserve">Annual; 2026-28 batch</t>
  </si>
  <si>
    <t xml:space="preserve">Application fee Rs 2,000; programme fees as per NIBM schedule</t>
  </si>
  <si>
    <t xml:space="preserve">Online application 27 Nov 2025 to 20 Mar 2026; selection via CAT 2025 or GMAT plus OCT and PI during Apr-May 2026; classes July 2026</t>
  </si>
  <si>
    <t xml:space="preserve">2025-12</t>
  </si>
  <si>
    <t xml:space="preserve">pgdm.nibmindia.org</t>
  </si>
  <si>
    <t xml:space="preserve">https://pgdm.nibmindia.org/media/documents/Prop_26__28.pdf</t>
  </si>
  <si>
    <t xml:space="preserve">Dates verified from official NIBM prospectus; a banking-sector B-school notification squarely within BSC coverage</t>
  </si>
  <si>
    <t xml:space="preserve">IRMA Anand PGDM (Rural Management) 2027-29</t>
  </si>
  <si>
    <t xml:space="preserve">Institute of Rural Management Anand (IRMA)</t>
  </si>
  <si>
    <t xml:space="preserve">Graduates with 50 percent marks (45 percent for reserved categories); accepts CAT 2026, XAT 2027 and CMAT 2027 scores</t>
  </si>
  <si>
    <t xml:space="preserve">Annual; 2027-29 batch</t>
  </si>
  <si>
    <t xml:space="preserve">Application fee approx Rs 2,000 for general category</t>
  </si>
  <si>
    <t xml:space="preserve">Application portal expected to open Sep 2026 with last date around Jan 2027; IWAT and PI Feb 2027; final result Mar 2027 (tentative)</t>
  </si>
  <si>
    <t xml:space="preserve">Dates TBA</t>
  </si>
  <si>
    <t xml:space="preserve">2026-09</t>
  </si>
  <si>
    <t xml:space="preserve">irma.ac.in</t>
  </si>
  <si>
    <t xml:space="preserve">https://www.collegedekho.com/colleges/irma/irma-anand-cat-cutoff-article-86546</t>
  </si>
  <si>
    <t xml:space="preserve">Official 2027-29 schedule not yet announced; timeline based on previous admission cycle per secondary sources; BSC issue appearance not directly verified</t>
  </si>
  <si>
    <t xml:space="preserve">BSC Academy Banking 2026 classroom and online batches</t>
  </si>
  <si>
    <t xml:space="preserve">BSC Academy Pvt Ltd (bscacademy.com)</t>
  </si>
  <si>
    <t xml:space="preserve">Bank PO, Clerk and SSC exam aspirants; classroom, online and correspondence coaching courses</t>
  </si>
  <si>
    <t xml:space="preserve">Rolling; new batches through 2026</t>
  </si>
  <si>
    <t xml:space="preserve">Course fees approx Rs 8,950 online and Rs 16,950 to Rs 20,000 offline per centre</t>
  </si>
  <si>
    <t xml:space="preserve">Admission open through 2026; BSC Banking Services Chronicle magazine and e-magazine subscriptions also sold via the site</t>
  </si>
  <si>
    <t xml:space="preserve">2026-01</t>
  </si>
  <si>
    <t xml:space="preserve">bscacademy.com</t>
  </si>
  <si>
    <t xml:space="preserve">https://bscacademy.org/courses/banking-course</t>
  </si>
  <si>
    <t xml:space="preserve">Admission announced on BSC Academy websites; the magazine's own admission pages regularly carry BSC course and subscription offers</t>
  </si>
  <si>
    <t xml:space="preserve">NITI Aayog Internship Scheme</t>
  </si>
  <si>
    <t xml:space="preserve">NITI Aayog, Government of India</t>
  </si>
  <si>
    <t xml:space="preserve">Undergraduate, postgraduate and research scholars at recognised universities in India or abroad; minimum 85 percent in Class 12 for UG, 70 percent in graduation for PG</t>
  </si>
  <si>
    <t xml:space="preserve">Rolling monthly; 6 weeks to 6 months duration</t>
  </si>
  <si>
    <t xml:space="preserve">Unpaid internship; workspace and internet provided by NITI Aayog</t>
  </si>
  <si>
    <t xml:space="preserve">Applications accepted online from the 1st to the 10th of every month; deadline is the 10th of the month preceding the desired internship month</t>
  </si>
  <si>
    <t xml:space="preserve">Rolling</t>
  </si>
  <si>
    <t xml:space="preserve">2026-04</t>
  </si>
  <si>
    <t xml:space="preserve">niti.gov.in</t>
  </si>
  <si>
    <t xml:space="preserve">https://www.niti.gov.in/internship</t>
  </si>
  <si>
    <t xml:space="preserve">Policy internship, not a job recruitment; well-known scheme consistent with BSC current-affairs coverage; BSC issue appearance not directly verified</t>
  </si>
  <si>
    <t xml:space="preserve">RBI Research Internship Scheme</t>
  </si>
  <si>
    <t xml:space="preserve">Reserve Bank of India</t>
  </si>
  <si>
    <t xml:space="preserve">Recent graduates and postgraduates in economics, finance, statistics, data science, MBA Finance or engineering; domestic and foreign students</t>
  </si>
  <si>
    <t xml:space="preserve">Two batches a year commencing 01 Jan and 01 Jul</t>
  </si>
  <si>
    <t xml:space="preserve">Stipend Rs 45,000 per month; 6 months extendable up to 2 years; based in Mumbai</t>
  </si>
  <si>
    <t xml:space="preserve">Application window Jan to May for the July batch and July to November for the January batch; maximum 20 interns a year across DEPR, DSIM, FSD and ID departments</t>
  </si>
  <si>
    <t xml:space="preserve">2025-05</t>
  </si>
  <si>
    <t xml:space="preserve">rbi.org.in</t>
  </si>
  <si>
    <t xml:space="preserve">https://www.rbi.org.in/scripts/Bs_viewcontent.aspx?Id=3496</t>
  </si>
  <si>
    <t xml:space="preserve">Central-banking research internship, not a job recruitment; scheme details verified from RBI website; BSC issue appearance not directly verified</t>
  </si>
  <si>
    <t xml:space="preserve">RBI Summer Internship Programme 2026</t>
  </si>
  <si>
    <t xml:space="preserve">Students seeking summer placement exposure to central banking work at RBI Central Office, Mumbai</t>
  </si>
  <si>
    <t xml:space="preserve">Annual; summer 2026 programme</t>
  </si>
  <si>
    <t xml:space="preserve">Stipend Rs 20,000 per month; selection via shortlisting and interview in Jan-Feb</t>
  </si>
  <si>
    <t xml:space="preserve">Online applications closed 15 Dec 2025; shortlisting and interviews Jan to Feb 2026</t>
  </si>
  <si>
    <t xml:space="preserve">opportunities.rbi.org.in</t>
  </si>
  <si>
    <t xml:space="preserve">https://www.indiatoday.in/education-today/scholarships/story/rbi-summer-internship-2026-eligibility-stipend-application-and-selection-details-2834873-2025-12-12</t>
  </si>
  <si>
    <t xml:space="preserve">Internship, not a job recruitment; deadline and stipend verified from India Today coverage of the RBI announcement; BSC issue appearance not directly verified</t>
  </si>
  <si>
    <t xml:space="preserve">HDFC Bank Parivartan ECSS Programme 2025-26</t>
  </si>
  <si>
    <t xml:space="preserve">HDFC Bank (Parivartan CSR initiative)</t>
  </si>
  <si>
    <t xml:space="preserve">Students of Class 1 to 12 and diploma, ITI, polytechnic, UG and PG courses facing personal or family crisis; minimum 55 percent in previous exam</t>
  </si>
  <si>
    <t xml:space="preserve">Annual family income up to Rs 2.5 lakh</t>
  </si>
  <si>
    <t xml:space="preserve">Annual with three application cycles</t>
  </si>
  <si>
    <t xml:space="preserve">Financial assistance up to Rs 75,000 (Rs 15,000 to 18,000 for school; up to Rs 50,000 UG and Rs 75,000 PG)</t>
  </si>
  <si>
    <t xml:space="preserve">Three cycles with deadlines 04 Sep 2025, 30 Oct 2025 and 31 Dec 2025; apply via Buddy4Study</t>
  </si>
  <si>
    <t xml:space="preserve">parivartanecss.com</t>
  </si>
  <si>
    <t xml:space="preserve">https://www.parivartanecss.com/</t>
  </si>
  <si>
    <t xml:space="preserve">Bank CSR scholarship well within BSC banking-sector coverage; a 2026-27 cycle page is live on the official portal; BSC issue appearance not directly verified</t>
  </si>
  <si>
    <t xml:space="preserve">Kotak Kanya Scholarship 2025-26</t>
  </si>
  <si>
    <t xml:space="preserve">Kotak Education Foundation (Kotak Mahindra Group CSR)</t>
  </si>
  <si>
    <t xml:space="preserve">Meritorious girl students who secured first-year admission to professional graduation courses (Engineering, MBBS, Integrated LLB, Design etc.) at NIRF or NAAC accredited institutes</t>
  </si>
  <si>
    <t xml:space="preserve">female</t>
  </si>
  <si>
    <t xml:space="preserve">Annual family income below Rs 6 lakh</t>
  </si>
  <si>
    <t xml:space="preserve">Class 12 with 75 percent or more marks required</t>
  </si>
  <si>
    <t xml:space="preserve">Annual; approx 500 scholarships in 2025</t>
  </si>
  <si>
    <t xml:space="preserve">Rs 1.5 lakh per year until completion of the professional graduation degree; covers fees, hostel, books and laptop</t>
  </si>
  <si>
    <t xml:space="preserve">Applications closed 15 Dec 2025 (initial deadline 30 Sep 2025); apply via Buddy4Study</t>
  </si>
  <si>
    <t xml:space="preserve">2025-09</t>
  </si>
  <si>
    <t xml:space="preserve">buddy4study.com</t>
  </si>
  <si>
    <t xml:space="preserve">https://www.indiatoday.in/education-today/scholarships/story/kotak-kanya-scholarship-2025-26-eligibility-benefits-how-to-apply-and-deadline-2834434-2025-12-11</t>
  </si>
  <si>
    <t xml:space="preserve">Bank-group CSR scholarship consistent with BSC coverage; income and award details verified from Thapar notice and India Today; BSC issue appearance not directly verified</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</si>
</sst>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7">
    <fill>
      <patternFill patternType="none"/>
    </fill>
    <fill>
      <patternFill patternType="gray125"/>
    </fill>
    <fill>
      <patternFill patternType="solid">
        <fgColor rgb="FF1F4E79"/>
        <bgColor rgb="FF003366"/>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
      <patternFill patternType="solid">
        <fgColor rgb="FFDDEBF7"/>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2</v>
      </c>
    </row>
    <row r="20" customFormat="false" ht="15" hidden="false" customHeight="false" outlineLevel="0" collapsed="false">
      <c r="B20" s="6" t="s">
        <v>14</v>
      </c>
      <c r="C20" s="7" t="s">
        <v>15</v>
      </c>
      <c r="D20" s="8" t="n">
        <f aca="false">COUNTIF(Log!B2:B300,"Internship")</f>
        <v>3</v>
      </c>
    </row>
    <row r="21" customFormat="false" ht="15" hidden="false" customHeight="false" outlineLevel="0" collapsed="false">
      <c r="B21" s="6" t="s">
        <v>16</v>
      </c>
      <c r="C21" s="7" t="s">
        <v>17</v>
      </c>
      <c r="D21" s="8" t="n">
        <f aca="false">COUNTIF(Log!B2:B300,"Admission / Entrance Exam")</f>
        <v>15</v>
      </c>
    </row>
    <row r="23" customFormat="false" ht="15" hidden="false" customHeight="false" outlineLevel="0" collapsed="false">
      <c r="B23" s="9" t="s">
        <v>18</v>
      </c>
      <c r="D23" s="10" t="n">
        <f aca="false">COUNTA(Log!A2:A300)</f>
        <v>20</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16</v>
      </c>
      <c r="C2" s="7" t="s">
        <v>36</v>
      </c>
      <c r="D2" s="7" t="s">
        <v>37</v>
      </c>
      <c r="E2" s="7" t="s">
        <v>38</v>
      </c>
      <c r="F2" s="7" t="s">
        <v>39</v>
      </c>
      <c r="G2" s="7" t="s">
        <v>39</v>
      </c>
      <c r="H2" s="7" t="s">
        <v>40</v>
      </c>
      <c r="I2" s="7" t="s">
        <v>41</v>
      </c>
      <c r="J2" s="7" t="s">
        <v>42</v>
      </c>
      <c r="K2" s="7" t="s">
        <v>43</v>
      </c>
      <c r="L2" s="7" t="s">
        <v>44</v>
      </c>
      <c r="M2" s="12" t="s">
        <v>45</v>
      </c>
      <c r="N2" s="7" t="s">
        <v>46</v>
      </c>
      <c r="O2" s="7" t="s">
        <v>47</v>
      </c>
      <c r="P2" s="7" t="s">
        <v>48</v>
      </c>
      <c r="Q2" s="7" t="s">
        <v>49</v>
      </c>
    </row>
    <row r="3" customFormat="false" ht="15" hidden="false" customHeight="false" outlineLevel="0" collapsed="false">
      <c r="A3" s="7" t="n">
        <v>2</v>
      </c>
      <c r="B3" s="7" t="s">
        <v>16</v>
      </c>
      <c r="C3" s="7" t="s">
        <v>50</v>
      </c>
      <c r="D3" s="7" t="s">
        <v>51</v>
      </c>
      <c r="E3" s="7" t="s">
        <v>52</v>
      </c>
      <c r="F3" s="7" t="s">
        <v>39</v>
      </c>
      <c r="G3" s="7" t="s">
        <v>39</v>
      </c>
      <c r="H3" s="7" t="s">
        <v>40</v>
      </c>
      <c r="I3" s="7" t="s">
        <v>41</v>
      </c>
      <c r="J3" s="7" t="s">
        <v>53</v>
      </c>
      <c r="K3" s="7" t="s">
        <v>54</v>
      </c>
      <c r="L3" s="7" t="s">
        <v>55</v>
      </c>
      <c r="M3" s="12" t="s">
        <v>45</v>
      </c>
      <c r="N3" s="7" t="s">
        <v>56</v>
      </c>
      <c r="O3" s="7" t="s">
        <v>47</v>
      </c>
      <c r="P3" s="7" t="s">
        <v>57</v>
      </c>
      <c r="Q3" s="7" t="s">
        <v>58</v>
      </c>
    </row>
    <row r="4" customFormat="false" ht="15" hidden="false" customHeight="false" outlineLevel="0" collapsed="false">
      <c r="A4" s="7" t="n">
        <v>3</v>
      </c>
      <c r="B4" s="7" t="s">
        <v>16</v>
      </c>
      <c r="C4" s="7" t="s">
        <v>59</v>
      </c>
      <c r="D4" s="7" t="s">
        <v>60</v>
      </c>
      <c r="E4" s="7" t="s">
        <v>61</v>
      </c>
      <c r="F4" s="7" t="s">
        <v>39</v>
      </c>
      <c r="G4" s="7" t="s">
        <v>39</v>
      </c>
      <c r="H4" s="7" t="s">
        <v>40</v>
      </c>
      <c r="I4" s="7" t="s">
        <v>41</v>
      </c>
      <c r="J4" s="7" t="s">
        <v>62</v>
      </c>
      <c r="K4" s="7" t="s">
        <v>63</v>
      </c>
      <c r="L4" s="7" t="s">
        <v>64</v>
      </c>
      <c r="M4" s="12" t="s">
        <v>45</v>
      </c>
      <c r="N4" s="7" t="s">
        <v>65</v>
      </c>
      <c r="O4" s="7" t="s">
        <v>66</v>
      </c>
      <c r="P4" s="7" t="s">
        <v>67</v>
      </c>
      <c r="Q4" s="7" t="s">
        <v>68</v>
      </c>
    </row>
    <row r="5" customFormat="false" ht="15" hidden="false" customHeight="false" outlineLevel="0" collapsed="false">
      <c r="A5" s="7" t="n">
        <v>4</v>
      </c>
      <c r="B5" s="7" t="s">
        <v>16</v>
      </c>
      <c r="C5" s="7" t="s">
        <v>69</v>
      </c>
      <c r="D5" s="7" t="s">
        <v>70</v>
      </c>
      <c r="E5" s="7" t="s">
        <v>71</v>
      </c>
      <c r="F5" s="7" t="s">
        <v>39</v>
      </c>
      <c r="G5" s="7" t="s">
        <v>39</v>
      </c>
      <c r="H5" s="7" t="s">
        <v>40</v>
      </c>
      <c r="I5" s="7" t="s">
        <v>41</v>
      </c>
      <c r="J5" s="7" t="s">
        <v>72</v>
      </c>
      <c r="K5" s="7" t="s">
        <v>73</v>
      </c>
      <c r="L5" s="7" t="s">
        <v>74</v>
      </c>
      <c r="M5" s="13" t="s">
        <v>75</v>
      </c>
      <c r="N5" s="7" t="s">
        <v>76</v>
      </c>
      <c r="O5" s="7" t="s">
        <v>66</v>
      </c>
      <c r="P5" s="7" t="s">
        <v>77</v>
      </c>
      <c r="Q5" s="7" t="s">
        <v>78</v>
      </c>
    </row>
    <row r="6" customFormat="false" ht="15" hidden="false" customHeight="false" outlineLevel="0" collapsed="false">
      <c r="A6" s="7" t="n">
        <v>5</v>
      </c>
      <c r="B6" s="7" t="s">
        <v>16</v>
      </c>
      <c r="C6" s="7" t="s">
        <v>79</v>
      </c>
      <c r="D6" s="7" t="s">
        <v>80</v>
      </c>
      <c r="E6" s="7" t="s">
        <v>81</v>
      </c>
      <c r="F6" s="7" t="s">
        <v>39</v>
      </c>
      <c r="G6" s="7" t="s">
        <v>39</v>
      </c>
      <c r="H6" s="7" t="s">
        <v>40</v>
      </c>
      <c r="I6" s="7" t="s">
        <v>41</v>
      </c>
      <c r="J6" s="7" t="s">
        <v>82</v>
      </c>
      <c r="K6" s="7" t="s">
        <v>83</v>
      </c>
      <c r="L6" s="7" t="s">
        <v>84</v>
      </c>
      <c r="M6" s="12" t="s">
        <v>45</v>
      </c>
      <c r="N6" s="7" t="s">
        <v>65</v>
      </c>
      <c r="O6" s="7" t="s">
        <v>85</v>
      </c>
      <c r="P6" s="7" t="s">
        <v>86</v>
      </c>
      <c r="Q6" s="7" t="s">
        <v>87</v>
      </c>
    </row>
    <row r="7" customFormat="false" ht="15" hidden="false" customHeight="false" outlineLevel="0" collapsed="false">
      <c r="A7" s="7" t="n">
        <v>6</v>
      </c>
      <c r="B7" s="7" t="s">
        <v>16</v>
      </c>
      <c r="C7" s="7" t="s">
        <v>88</v>
      </c>
      <c r="D7" s="7" t="s">
        <v>80</v>
      </c>
      <c r="E7" s="7" t="s">
        <v>89</v>
      </c>
      <c r="F7" s="7" t="s">
        <v>39</v>
      </c>
      <c r="G7" s="7" t="s">
        <v>39</v>
      </c>
      <c r="H7" s="7" t="s">
        <v>40</v>
      </c>
      <c r="I7" s="7" t="s">
        <v>41</v>
      </c>
      <c r="J7" s="7" t="s">
        <v>90</v>
      </c>
      <c r="K7" s="7" t="s">
        <v>83</v>
      </c>
      <c r="L7" s="7" t="s">
        <v>91</v>
      </c>
      <c r="M7" s="12" t="s">
        <v>45</v>
      </c>
      <c r="N7" s="7" t="s">
        <v>92</v>
      </c>
      <c r="O7" s="7" t="s">
        <v>85</v>
      </c>
      <c r="P7" s="7" t="s">
        <v>93</v>
      </c>
      <c r="Q7" s="7" t="s">
        <v>94</v>
      </c>
    </row>
    <row r="8" customFormat="false" ht="15" hidden="false" customHeight="false" outlineLevel="0" collapsed="false">
      <c r="A8" s="7" t="n">
        <v>7</v>
      </c>
      <c r="B8" s="7" t="s">
        <v>16</v>
      </c>
      <c r="C8" s="7" t="s">
        <v>95</v>
      </c>
      <c r="D8" s="7" t="s">
        <v>80</v>
      </c>
      <c r="E8" s="7" t="s">
        <v>81</v>
      </c>
      <c r="F8" s="7" t="s">
        <v>39</v>
      </c>
      <c r="G8" s="7" t="s">
        <v>39</v>
      </c>
      <c r="H8" s="7" t="s">
        <v>40</v>
      </c>
      <c r="I8" s="7" t="s">
        <v>41</v>
      </c>
      <c r="J8" s="7" t="s">
        <v>96</v>
      </c>
      <c r="K8" s="7" t="s">
        <v>97</v>
      </c>
      <c r="L8" s="7" t="s">
        <v>98</v>
      </c>
      <c r="M8" s="12" t="s">
        <v>45</v>
      </c>
      <c r="N8" s="7" t="s">
        <v>56</v>
      </c>
      <c r="O8" s="7" t="s">
        <v>85</v>
      </c>
      <c r="P8" s="7" t="s">
        <v>99</v>
      </c>
      <c r="Q8" s="7" t="s">
        <v>100</v>
      </c>
    </row>
    <row r="9" customFormat="false" ht="15" hidden="false" customHeight="false" outlineLevel="0" collapsed="false">
      <c r="A9" s="7" t="n">
        <v>8</v>
      </c>
      <c r="B9" s="7" t="s">
        <v>16</v>
      </c>
      <c r="C9" s="7" t="s">
        <v>101</v>
      </c>
      <c r="D9" s="7" t="s">
        <v>102</v>
      </c>
      <c r="E9" s="7" t="s">
        <v>103</v>
      </c>
      <c r="F9" s="7" t="s">
        <v>39</v>
      </c>
      <c r="G9" s="7" t="s">
        <v>39</v>
      </c>
      <c r="H9" s="7" t="s">
        <v>40</v>
      </c>
      <c r="I9" s="7" t="s">
        <v>41</v>
      </c>
      <c r="J9" s="7" t="s">
        <v>104</v>
      </c>
      <c r="K9" s="7" t="s">
        <v>105</v>
      </c>
      <c r="L9" s="7" t="s">
        <v>106</v>
      </c>
      <c r="M9" s="12" t="s">
        <v>45</v>
      </c>
      <c r="N9" s="7" t="s">
        <v>107</v>
      </c>
      <c r="O9" s="7" t="s">
        <v>108</v>
      </c>
      <c r="P9" s="7" t="s">
        <v>109</v>
      </c>
      <c r="Q9" s="7" t="s">
        <v>110</v>
      </c>
    </row>
    <row r="10" customFormat="false" ht="15" hidden="false" customHeight="false" outlineLevel="0" collapsed="false">
      <c r="A10" s="7" t="n">
        <v>9</v>
      </c>
      <c r="B10" s="7" t="s">
        <v>16</v>
      </c>
      <c r="C10" s="7" t="s">
        <v>111</v>
      </c>
      <c r="D10" s="7" t="s">
        <v>112</v>
      </c>
      <c r="E10" s="7" t="s">
        <v>113</v>
      </c>
      <c r="F10" s="7" t="s">
        <v>39</v>
      </c>
      <c r="G10" s="7" t="s">
        <v>39</v>
      </c>
      <c r="H10" s="7" t="s">
        <v>40</v>
      </c>
      <c r="I10" s="7" t="s">
        <v>41</v>
      </c>
      <c r="J10" s="7" t="s">
        <v>114</v>
      </c>
      <c r="K10" s="7" t="s">
        <v>115</v>
      </c>
      <c r="L10" s="7" t="s">
        <v>116</v>
      </c>
      <c r="M10" s="12" t="s">
        <v>45</v>
      </c>
      <c r="N10" s="7" t="s">
        <v>46</v>
      </c>
      <c r="O10" s="7" t="s">
        <v>117</v>
      </c>
      <c r="P10" s="7" t="s">
        <v>118</v>
      </c>
      <c r="Q10" s="7" t="s">
        <v>119</v>
      </c>
    </row>
    <row r="11" customFormat="false" ht="15" hidden="false" customHeight="false" outlineLevel="0" collapsed="false">
      <c r="A11" s="7" t="n">
        <v>10</v>
      </c>
      <c r="B11" s="7" t="s">
        <v>16</v>
      </c>
      <c r="C11" s="7" t="s">
        <v>120</v>
      </c>
      <c r="D11" s="7" t="s">
        <v>121</v>
      </c>
      <c r="E11" s="7" t="s">
        <v>122</v>
      </c>
      <c r="F11" s="7" t="s">
        <v>39</v>
      </c>
      <c r="G11" s="7" t="s">
        <v>39</v>
      </c>
      <c r="H11" s="7" t="s">
        <v>40</v>
      </c>
      <c r="I11" s="7" t="s">
        <v>41</v>
      </c>
      <c r="J11" s="7" t="s">
        <v>123</v>
      </c>
      <c r="K11" s="7" t="s">
        <v>124</v>
      </c>
      <c r="L11" s="7" t="s">
        <v>125</v>
      </c>
      <c r="M11" s="12" t="s">
        <v>45</v>
      </c>
      <c r="N11" s="7" t="s">
        <v>46</v>
      </c>
      <c r="O11" s="7" t="s">
        <v>126</v>
      </c>
      <c r="P11" s="7" t="s">
        <v>127</v>
      </c>
      <c r="Q11" s="7" t="s">
        <v>128</v>
      </c>
    </row>
    <row r="12" customFormat="false" ht="15" hidden="false" customHeight="false" outlineLevel="0" collapsed="false">
      <c r="A12" s="7" t="n">
        <v>11</v>
      </c>
      <c r="B12" s="7" t="s">
        <v>16</v>
      </c>
      <c r="C12" s="7" t="s">
        <v>129</v>
      </c>
      <c r="D12" s="7" t="s">
        <v>130</v>
      </c>
      <c r="E12" s="7" t="s">
        <v>131</v>
      </c>
      <c r="F12" s="7" t="s">
        <v>132</v>
      </c>
      <c r="G12" s="7" t="s">
        <v>39</v>
      </c>
      <c r="H12" s="7" t="s">
        <v>40</v>
      </c>
      <c r="I12" s="7" t="s">
        <v>133</v>
      </c>
      <c r="J12" s="7" t="s">
        <v>134</v>
      </c>
      <c r="K12" s="7" t="s">
        <v>135</v>
      </c>
      <c r="L12" s="7" t="s">
        <v>136</v>
      </c>
      <c r="M12" s="12" t="s">
        <v>45</v>
      </c>
      <c r="N12" s="7" t="s">
        <v>137</v>
      </c>
      <c r="O12" s="7" t="s">
        <v>138</v>
      </c>
      <c r="P12" s="7" t="s">
        <v>139</v>
      </c>
      <c r="Q12" s="7" t="s">
        <v>140</v>
      </c>
    </row>
    <row r="13" customFormat="false" ht="15" hidden="false" customHeight="false" outlineLevel="0" collapsed="false">
      <c r="A13" s="7" t="n">
        <v>12</v>
      </c>
      <c r="B13" s="7" t="s">
        <v>16</v>
      </c>
      <c r="C13" s="7" t="s">
        <v>141</v>
      </c>
      <c r="D13" s="7" t="s">
        <v>142</v>
      </c>
      <c r="E13" s="7" t="s">
        <v>143</v>
      </c>
      <c r="F13" s="7" t="s">
        <v>39</v>
      </c>
      <c r="G13" s="7" t="s">
        <v>39</v>
      </c>
      <c r="H13" s="7" t="s">
        <v>40</v>
      </c>
      <c r="I13" s="7" t="s">
        <v>41</v>
      </c>
      <c r="J13" s="7" t="s">
        <v>144</v>
      </c>
      <c r="K13" s="7" t="s">
        <v>145</v>
      </c>
      <c r="L13" s="7" t="s">
        <v>146</v>
      </c>
      <c r="M13" s="12" t="s">
        <v>45</v>
      </c>
      <c r="N13" s="7" t="s">
        <v>147</v>
      </c>
      <c r="O13" s="7" t="s">
        <v>148</v>
      </c>
      <c r="P13" s="7" t="s">
        <v>149</v>
      </c>
      <c r="Q13" s="7" t="s">
        <v>150</v>
      </c>
    </row>
    <row r="14" customFormat="false" ht="15" hidden="false" customHeight="false" outlineLevel="0" collapsed="false">
      <c r="A14" s="7" t="n">
        <v>13</v>
      </c>
      <c r="B14" s="7" t="s">
        <v>16</v>
      </c>
      <c r="C14" s="7" t="s">
        <v>151</v>
      </c>
      <c r="D14" s="7" t="s">
        <v>152</v>
      </c>
      <c r="E14" s="7" t="s">
        <v>153</v>
      </c>
      <c r="F14" s="7" t="s">
        <v>39</v>
      </c>
      <c r="G14" s="7" t="s">
        <v>39</v>
      </c>
      <c r="H14" s="7" t="s">
        <v>40</v>
      </c>
      <c r="I14" s="7" t="s">
        <v>41</v>
      </c>
      <c r="J14" s="7" t="s">
        <v>154</v>
      </c>
      <c r="K14" s="7" t="s">
        <v>155</v>
      </c>
      <c r="L14" s="7" t="s">
        <v>156</v>
      </c>
      <c r="M14" s="12" t="s">
        <v>45</v>
      </c>
      <c r="N14" s="7" t="s">
        <v>157</v>
      </c>
      <c r="O14" s="7" t="s">
        <v>158</v>
      </c>
      <c r="P14" s="7" t="s">
        <v>159</v>
      </c>
      <c r="Q14" s="7" t="s">
        <v>160</v>
      </c>
    </row>
    <row r="15" customFormat="false" ht="15" hidden="false" customHeight="false" outlineLevel="0" collapsed="false">
      <c r="A15" s="7" t="n">
        <v>14</v>
      </c>
      <c r="B15" s="7" t="s">
        <v>16</v>
      </c>
      <c r="C15" s="7" t="s">
        <v>161</v>
      </c>
      <c r="D15" s="7" t="s">
        <v>162</v>
      </c>
      <c r="E15" s="7" t="s">
        <v>163</v>
      </c>
      <c r="F15" s="7" t="s">
        <v>39</v>
      </c>
      <c r="G15" s="7" t="s">
        <v>39</v>
      </c>
      <c r="H15" s="7" t="s">
        <v>40</v>
      </c>
      <c r="I15" s="7" t="s">
        <v>41</v>
      </c>
      <c r="J15" s="7" t="s">
        <v>164</v>
      </c>
      <c r="K15" s="7" t="s">
        <v>165</v>
      </c>
      <c r="L15" s="7" t="s">
        <v>166</v>
      </c>
      <c r="M15" s="14" t="s">
        <v>167</v>
      </c>
      <c r="N15" s="7" t="s">
        <v>168</v>
      </c>
      <c r="O15" s="7" t="s">
        <v>169</v>
      </c>
      <c r="P15" s="7" t="s">
        <v>170</v>
      </c>
      <c r="Q15" s="7" t="s">
        <v>171</v>
      </c>
    </row>
    <row r="16" customFormat="false" ht="15" hidden="false" customHeight="false" outlineLevel="0" collapsed="false">
      <c r="A16" s="7" t="n">
        <v>15</v>
      </c>
      <c r="B16" s="7" t="s">
        <v>16</v>
      </c>
      <c r="C16" s="7" t="s">
        <v>172</v>
      </c>
      <c r="D16" s="7" t="s">
        <v>173</v>
      </c>
      <c r="E16" s="7" t="s">
        <v>174</v>
      </c>
      <c r="F16" s="7" t="s">
        <v>39</v>
      </c>
      <c r="G16" s="7" t="s">
        <v>39</v>
      </c>
      <c r="H16" s="7" t="s">
        <v>40</v>
      </c>
      <c r="I16" s="7" t="s">
        <v>40</v>
      </c>
      <c r="J16" s="7" t="s">
        <v>175</v>
      </c>
      <c r="K16" s="7" t="s">
        <v>176</v>
      </c>
      <c r="L16" s="7" t="s">
        <v>177</v>
      </c>
      <c r="M16" s="13" t="s">
        <v>75</v>
      </c>
      <c r="N16" s="7" t="s">
        <v>178</v>
      </c>
      <c r="O16" s="7" t="s">
        <v>179</v>
      </c>
      <c r="P16" s="7" t="s">
        <v>180</v>
      </c>
      <c r="Q16" s="7" t="s">
        <v>181</v>
      </c>
    </row>
    <row r="17" customFormat="false" ht="15" hidden="false" customHeight="false" outlineLevel="0" collapsed="false">
      <c r="A17" s="7" t="n">
        <v>16</v>
      </c>
      <c r="B17" s="7" t="s">
        <v>14</v>
      </c>
      <c r="C17" s="7" t="s">
        <v>182</v>
      </c>
      <c r="D17" s="7" t="s">
        <v>183</v>
      </c>
      <c r="E17" s="7" t="s">
        <v>184</v>
      </c>
      <c r="F17" s="7" t="s">
        <v>39</v>
      </c>
      <c r="G17" s="7" t="s">
        <v>39</v>
      </c>
      <c r="H17" s="7" t="s">
        <v>40</v>
      </c>
      <c r="I17" s="7" t="s">
        <v>40</v>
      </c>
      <c r="J17" s="7" t="s">
        <v>185</v>
      </c>
      <c r="K17" s="7" t="s">
        <v>186</v>
      </c>
      <c r="L17" s="7" t="s">
        <v>187</v>
      </c>
      <c r="M17" s="15" t="s">
        <v>188</v>
      </c>
      <c r="N17" s="7" t="s">
        <v>189</v>
      </c>
      <c r="O17" s="7" t="s">
        <v>190</v>
      </c>
      <c r="P17" s="7" t="s">
        <v>191</v>
      </c>
      <c r="Q17" s="7" t="s">
        <v>192</v>
      </c>
    </row>
    <row r="18" customFormat="false" ht="15" hidden="false" customHeight="false" outlineLevel="0" collapsed="false">
      <c r="A18" s="7" t="n">
        <v>17</v>
      </c>
      <c r="B18" s="7" t="s">
        <v>14</v>
      </c>
      <c r="C18" s="7" t="s">
        <v>193</v>
      </c>
      <c r="D18" s="7" t="s">
        <v>194</v>
      </c>
      <c r="E18" s="7" t="s">
        <v>195</v>
      </c>
      <c r="F18" s="7" t="s">
        <v>39</v>
      </c>
      <c r="G18" s="7" t="s">
        <v>39</v>
      </c>
      <c r="H18" s="7" t="s">
        <v>40</v>
      </c>
      <c r="I18" s="7" t="s">
        <v>40</v>
      </c>
      <c r="J18" s="7" t="s">
        <v>196</v>
      </c>
      <c r="K18" s="7" t="s">
        <v>197</v>
      </c>
      <c r="L18" s="7" t="s">
        <v>198</v>
      </c>
      <c r="M18" s="15" t="s">
        <v>188</v>
      </c>
      <c r="N18" s="7" t="s">
        <v>199</v>
      </c>
      <c r="O18" s="7" t="s">
        <v>200</v>
      </c>
      <c r="P18" s="7" t="s">
        <v>201</v>
      </c>
      <c r="Q18" s="7" t="s">
        <v>202</v>
      </c>
    </row>
    <row r="19" customFormat="false" ht="15" hidden="false" customHeight="false" outlineLevel="0" collapsed="false">
      <c r="A19" s="7" t="n">
        <v>18</v>
      </c>
      <c r="B19" s="7" t="s">
        <v>14</v>
      </c>
      <c r="C19" s="7" t="s">
        <v>203</v>
      </c>
      <c r="D19" s="7" t="s">
        <v>194</v>
      </c>
      <c r="E19" s="7" t="s">
        <v>204</v>
      </c>
      <c r="F19" s="7" t="s">
        <v>39</v>
      </c>
      <c r="G19" s="7" t="s">
        <v>39</v>
      </c>
      <c r="H19" s="7" t="s">
        <v>40</v>
      </c>
      <c r="I19" s="7" t="s">
        <v>40</v>
      </c>
      <c r="J19" s="7" t="s">
        <v>205</v>
      </c>
      <c r="K19" s="7" t="s">
        <v>206</v>
      </c>
      <c r="L19" s="7" t="s">
        <v>207</v>
      </c>
      <c r="M19" s="12" t="s">
        <v>45</v>
      </c>
      <c r="N19" s="7" t="s">
        <v>157</v>
      </c>
      <c r="O19" s="7" t="s">
        <v>208</v>
      </c>
      <c r="P19" s="7" t="s">
        <v>209</v>
      </c>
      <c r="Q19" s="7" t="s">
        <v>210</v>
      </c>
    </row>
    <row r="20" customFormat="false" ht="15" hidden="false" customHeight="false" outlineLevel="0" collapsed="false">
      <c r="A20" s="7" t="n">
        <v>19</v>
      </c>
      <c r="B20" s="7" t="s">
        <v>12</v>
      </c>
      <c r="C20" s="7" t="s">
        <v>211</v>
      </c>
      <c r="D20" s="7" t="s">
        <v>212</v>
      </c>
      <c r="E20" s="7" t="s">
        <v>213</v>
      </c>
      <c r="F20" s="7" t="s">
        <v>39</v>
      </c>
      <c r="G20" s="7" t="s">
        <v>39</v>
      </c>
      <c r="H20" s="7" t="s">
        <v>214</v>
      </c>
      <c r="I20" s="7" t="s">
        <v>40</v>
      </c>
      <c r="J20" s="7" t="s">
        <v>215</v>
      </c>
      <c r="K20" s="7" t="s">
        <v>216</v>
      </c>
      <c r="L20" s="7" t="s">
        <v>217</v>
      </c>
      <c r="M20" s="12" t="s">
        <v>45</v>
      </c>
      <c r="N20" s="7" t="s">
        <v>65</v>
      </c>
      <c r="O20" s="7" t="s">
        <v>218</v>
      </c>
      <c r="P20" s="7" t="s">
        <v>219</v>
      </c>
      <c r="Q20" s="7" t="s">
        <v>220</v>
      </c>
    </row>
    <row r="21" customFormat="false" ht="15" hidden="false" customHeight="false" outlineLevel="0" collapsed="false">
      <c r="A21" s="7" t="n">
        <v>20</v>
      </c>
      <c r="B21" s="7" t="s">
        <v>12</v>
      </c>
      <c r="C21" s="7" t="s">
        <v>221</v>
      </c>
      <c r="D21" s="7" t="s">
        <v>222</v>
      </c>
      <c r="E21" s="7" t="s">
        <v>223</v>
      </c>
      <c r="F21" s="7" t="s">
        <v>39</v>
      </c>
      <c r="G21" s="7" t="s">
        <v>224</v>
      </c>
      <c r="H21" s="7" t="s">
        <v>225</v>
      </c>
      <c r="I21" s="7" t="s">
        <v>226</v>
      </c>
      <c r="J21" s="7" t="s">
        <v>227</v>
      </c>
      <c r="K21" s="7" t="s">
        <v>228</v>
      </c>
      <c r="L21" s="7" t="s">
        <v>229</v>
      </c>
      <c r="M21" s="12" t="s">
        <v>45</v>
      </c>
      <c r="N21" s="7" t="s">
        <v>230</v>
      </c>
      <c r="O21" s="7" t="s">
        <v>231</v>
      </c>
      <c r="P21" s="7" t="s">
        <v>232</v>
      </c>
      <c r="Q21" s="7" t="s">
        <v>233</v>
      </c>
    </row>
  </sheetData>
  <autoFilter ref="A1:Q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2026-09-28T06:29:37Z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