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2"/>
    <sheet name="Log" sheetId="2" state="visible" r:id="rId3"/>
  </sheets>
  <definedNames>
    <definedName function="false" hidden="true" localSheetId="1" name="_xlnm._FilterDatabase" vbProcedure="false">Log!$A$1:$Q$24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<sst xmlns="http://schemas.openxmlformats.org/spreadsheetml/2006/main" count="404" uniqueCount="262">
  <si>
    <t xml:space="preserve">Banking Services Chronicle - Opportunities Log</t>
  </si>
  <si>
    <t xml:space="preserve">Coverage window: April 2025 - October 2026 (19 months) | Sections logged: scholarships &amp; fellowships, internships, admissions &amp; entrance exams (no government job recruitment, per scope)</t>
  </si>
  <si>
    <t xml:space="preserve">Compiled 28 September 2026 | updated 21 October 2026 with the 1-21 October 2026 scrape</t>
  </si>
  <si>
    <t xml:space="preserve">Method &amp; caveats</t>
  </si>
  <si>
    <t xml:space="preserve">Print archives of this magazine are not publicly accessible in bulk, so entries were compiled from the magazine's own website/web editions where available, and from official notification portals and reputable coverage elsewhere. The Source(s) column links where each fact was verified, and the Notes column states whether the item's appearance in a specific magazine issue was directly verified or inferred from the magazine's normal coverage.</t>
  </si>
  <si>
    <t xml:space="preserve">Coverage Month = the month(s) the item appeared (or would customarily appear) in the magazine, based on the notification's own public timeline.</t>
  </si>
  <si>
    <t xml:space="preserve">Status is as of 28 September 2026: green = open now, blue = rolling applications, amber = upcoming, grey = dates to be announced, red = closed. Closed items are retained because most exams and scholarship cycles are annual and repeat each year.</t>
  </si>
  <si>
    <t xml:space="preserve">Deadlines and fees change - always verify on the Official Website column before relying on any date. This is an information compilation, not an endorsement; never apply through third-party paid agents.</t>
  </si>
  <si>
    <t xml:space="preserve">Entries by section</t>
  </si>
  <si>
    <t xml:space="preserve">Section</t>
  </si>
  <si>
    <t xml:space="preserve">Description</t>
  </si>
  <si>
    <t xml:space="preserve">Count</t>
  </si>
  <si>
    <t xml:space="preserve">Scholarship / Fellowship</t>
  </si>
  <si>
    <t xml:space="preserve">Government, trust and CSR scholarships and fellowships covered in this window.</t>
  </si>
  <si>
    <t xml:space="preserve">Internship</t>
  </si>
  <si>
    <t xml:space="preserve">Internship programmes covered in this window.</t>
  </si>
  <si>
    <t xml:space="preserve">Admission / Entrance Exam</t>
  </si>
  <si>
    <t xml:space="preserve">University/institute admissions and entrance exam notifications (CUET, GATE, CAT, CLAT, EAPCET etc.).</t>
  </si>
  <si>
    <t xml:space="preserve">Total entries</t>
  </si>
  <si>
    <t xml:space="preserve">S.No</t>
  </si>
  <si>
    <t xml:space="preserve">Type</t>
  </si>
  <si>
    <t xml:space="preserve">Name</t>
  </si>
  <si>
    <t xml:space="preserve">Organiser</t>
  </si>
  <si>
    <t xml:space="preserve">For (Education Background)</t>
  </si>
  <si>
    <t xml:space="preserve">Caste / Community</t>
  </si>
  <si>
    <t xml:space="preserve">Gender</t>
  </si>
  <si>
    <t xml:space="preserve">Income Limit</t>
  </si>
  <si>
    <t xml:space="preserve">Age Limit</t>
  </si>
  <si>
    <t xml:space="preserve">Cycle</t>
  </si>
  <si>
    <t xml:space="preserve">Award / Stipend / Fees</t>
  </si>
  <si>
    <t xml:space="preserve">Deadline / Window</t>
  </si>
  <si>
    <t xml:space="preserve">Status</t>
  </si>
  <si>
    <t xml:space="preserve">Coverage Month</t>
  </si>
  <si>
    <t xml:space="preserve">Official Website</t>
  </si>
  <si>
    <t xml:space="preserve">Source(s)</t>
  </si>
  <si>
    <t xml:space="preserve">Notes</t>
  </si>
  <si>
    <t xml:space="preserve">CAT 2025 (Common Admission Test)</t>
  </si>
  <si>
    <t xml:space="preserve">Indian Institutes of Management; conducted by IIM Kozhikode</t>
  </si>
  <si>
    <t xml:space="preserve">Graduates in any discipline; admission to MBA, PGP, PGDM at IIMs and 1,000+ B-schools</t>
  </si>
  <si>
    <t xml:space="preserve">all</t>
  </si>
  <si>
    <t xml:space="preserve">none</t>
  </si>
  <si>
    <t xml:space="preserve">no age limit</t>
  </si>
  <si>
    <t xml:space="preserve">Annual; exam 30 Nov 2025</t>
  </si>
  <si>
    <t xml:space="preserve">Application fee Rs 2,600 (Rs 1,300 for SC, ST and PwD)</t>
  </si>
  <si>
    <t xml:space="preserve">Registration 01 Aug 2025 to 20 Sep 2025 (extended from 13 Sep); exam 30 Nov 2025 in three sessions</t>
  </si>
  <si>
    <t xml:space="preserve">Closed</t>
  </si>
  <si>
    <t xml:space="preserve">2025-08</t>
  </si>
  <si>
    <t xml:space="preserve">iimcat.ac.in</t>
  </si>
  <si>
    <t xml:space="preserve">https://www.iimk.ac.in/uploads/announcements/CAT%202025%20Notification_20250727093201.pdf</t>
  </si>
  <si>
    <t xml:space="preserve">Notification dates verified from official IIM Kozhikode release; BSC print-issue appearance not directly verified but CAT notifications fall within the magazine's regular exam-coverage scope</t>
  </si>
  <si>
    <t xml:space="preserve">CAT 2026 (Common Admission Test)</t>
  </si>
  <si>
    <t xml:space="preserve">Indian Institutes of Management</t>
  </si>
  <si>
    <t xml:space="preserve">Graduates in any discipline; admission to MBA/PGP programmes of 21 IIMs, FMS, SPJIMR, MDI, IITs and IIFT</t>
  </si>
  <si>
    <t xml:space="preserve">Annual; exam 29 Nov 2026</t>
  </si>
  <si>
    <t xml:space="preserve">Application fee Rs 2,700 (Rs 1,350 for SC, ST and PwBD)</t>
  </si>
  <si>
    <t xml:space="preserve">Registration 03 Aug 2026 to 15 Sep 2026; exam 29 Nov 2026 in three sessions; admit cards from 04 Nov 2026</t>
  </si>
  <si>
    <t xml:space="preserve">2026-08</t>
  </si>
  <si>
    <t xml:space="preserve">https://cdn.digialm.com/per/g06/pub/32842/EForms/image/CAT2026/CAT_2026_Press_Release_26-07-2026.pdf</t>
  </si>
  <si>
    <t xml:space="preserve">Registration window closed 15 Sep 2026; exam still upcoming; dates verified from official press release; BSC issue appearance not directly verified</t>
  </si>
  <si>
    <t xml:space="preserve">XAT 2026 (Xavier Aptitude Test)</t>
  </si>
  <si>
    <t xml:space="preserve">XLRI Jamshedpur on behalf of Xavier Association of Management Institutes (XAMI)</t>
  </si>
  <si>
    <t xml:space="preserve">Graduates in any discipline; MBA/PGDM admission at XLRI and 250+ XAT-associated institutes</t>
  </si>
  <si>
    <t xml:space="preserve">Annual; exam 04 Jan 2026</t>
  </si>
  <si>
    <t xml:space="preserve">Registration fee Rs 2,200 plus Rs 200 per XLRI programme</t>
  </si>
  <si>
    <t xml:space="preserve">Registration 10 Jul 2025 to 11 Dec 2025 (deadline extended from 04 Dec); exam 04 Jan 2026, 2 pm to 5 pm</t>
  </si>
  <si>
    <t xml:space="preserve">2025-07</t>
  </si>
  <si>
    <t xml:space="preserve">xatonline.in</t>
  </si>
  <si>
    <t xml:space="preserve">https://www.xatonline.in/assets/pdf/XAT-e_Bulletin-2026.pdf</t>
  </si>
  <si>
    <t xml:space="preserve">Dates verified from official XAT e-bulletin and notification; BSC issue appearance not directly verified</t>
  </si>
  <si>
    <t xml:space="preserve">XAT 2027 (Xavier Aptitude Test)</t>
  </si>
  <si>
    <t xml:space="preserve">XLRI Jamshedpur on behalf of XAMI</t>
  </si>
  <si>
    <t xml:space="preserve">Graduates in any discipline; MBA/PGDM admission at XLRI and 250+ institutes</t>
  </si>
  <si>
    <t xml:space="preserve">Annual; exam 03 Jan 2027</t>
  </si>
  <si>
    <t xml:space="preserve">Registration fee approx Rs 2,200 (as per prior cycle)</t>
  </si>
  <si>
    <t xml:space="preserve">Registration 15 Jul 2026 to 06 Dec 2026; exam 03 Jan 2027, 2 pm to 5 pm; day-one registrants get first-choice test city</t>
  </si>
  <si>
    <t xml:space="preserve">Open now</t>
  </si>
  <si>
    <t xml:space="preserve">2026-07</t>
  </si>
  <si>
    <t xml:space="preserve">https://xatonline.in/registration</t>
  </si>
  <si>
    <t xml:space="preserve">Registration open as of 28 Sep 2026; dates verified from official XAT website; BSC issue appearance not directly verified</t>
  </si>
  <si>
    <t xml:space="preserve">MAT September 2025 session (Management Aptitude Test)</t>
  </si>
  <si>
    <t xml:space="preserve">All India Management Association (AIMA)</t>
  </si>
  <si>
    <t xml:space="preserve">Graduates in any discipline and final-year students; MBA/PGDM admission</t>
  </si>
  <si>
    <t xml:space="preserve">Four sessions a year; Sep 2025 session</t>
  </si>
  <si>
    <t xml:space="preserve">Application fee Rs 2,200 (single mode) or Rs 3,800 (PBT plus CBT)</t>
  </si>
  <si>
    <t xml:space="preserve">Registration 23 Jul to 15 Sep 2025 (PBT) and 22 Sep 2025 (CBT); PBT exam 21 Sep 2025; CBT exam 28 Sep 2025</t>
  </si>
  <si>
    <t xml:space="preserve">mat.aima.in</t>
  </si>
  <si>
    <t xml:space="preserve">https://www.jagranjosh.com/news/aima-announced-mat-2025-september-session-exam-dates-registration-starts-documents-required-details-here-180420</t>
  </si>
  <si>
    <t xml:space="preserve">Dates verified from AIMA announcement coverage; BSC issue appearance not directly verified</t>
  </si>
  <si>
    <t xml:space="preserve">MAT December 2025 session (Management Aptitude Test)</t>
  </si>
  <si>
    <t xml:space="preserve">Graduates in any discipline; MBA/PGDM admission for 2026 academic session at 60+ city test centres</t>
  </si>
  <si>
    <t xml:space="preserve">Four sessions a year; Dec 2025 session</t>
  </si>
  <si>
    <t xml:space="preserve">Registration opened 04 Nov 2025; closes 07 Dec 2025 (PBT) and 15 Dec 2025 (CBT); PBT exam 13 Dec 2025; CBT exam 21 Dec 2025</t>
  </si>
  <si>
    <t xml:space="preserve">2025-11</t>
  </si>
  <si>
    <t xml:space="preserve">https://aima.in/mat/</t>
  </si>
  <si>
    <t xml:space="preserve">Dates verified from AIMA official page; BSC issue appearance not directly verified</t>
  </si>
  <si>
    <t xml:space="preserve">MAT September 2026 session (Management Aptitude Test)</t>
  </si>
  <si>
    <t xml:space="preserve">Four sessions a year; Sep 2026 session</t>
  </si>
  <si>
    <t xml:space="preserve">Application fee Rs 2,200 approx (single mode; concession for both modes)</t>
  </si>
  <si>
    <t xml:space="preserve">Registration closed 07 Sep 2026 (PBT) and 14 Sep 2026 (CBT); PBT exam 13 Sep 2026; CBT exam 20 Sep 2026</t>
  </si>
  <si>
    <t xml:space="preserve">https://mat.aima.in/</t>
  </si>
  <si>
    <t xml:space="preserve">Dates verified from official AIMA MAT portal; coverage month approximate as schedule release date not confirmed; BSC issue appearance not directly verified</t>
  </si>
  <si>
    <t xml:space="preserve">CMAT 2026 (Common Management Admission Test)</t>
  </si>
  <si>
    <t xml:space="preserve">National Testing Agency (NTA)</t>
  </si>
  <si>
    <t xml:space="preserve">Graduates; admission to MBA/PGDM at AICTE-approved institutions for 2026-27 session</t>
  </si>
  <si>
    <t xml:space="preserve">Annual; exam 25 Jan 2026</t>
  </si>
  <si>
    <t xml:space="preserve">Application fee per NTA schedule (Gen approx Rs 2,000; reserved categories lower)</t>
  </si>
  <si>
    <t xml:space="preserve">Registration 17 Oct 2025 to 24 Nov 2025; exam 25 Jan 2026 in computer-based mode</t>
  </si>
  <si>
    <t xml:space="preserve">2025-10</t>
  </si>
  <si>
    <t xml:space="preserve">cmat.nta.nic.in</t>
  </si>
  <si>
    <t xml:space="preserve">https://cdnbbsr.s3waas.gov.in/s3a381c2c35c9157f6b67fd07d5a200ae1/uploads/2025/10/202510171049586023.pdf</t>
  </si>
  <si>
    <t xml:space="preserve">Registration dates verified from NTA public notice; BSC issue appearance not directly verified</t>
  </si>
  <si>
    <t xml:space="preserve">NMAT by GMAC 2025</t>
  </si>
  <si>
    <t xml:space="preserve">Graduate Management Admission Council (GMAC)</t>
  </si>
  <si>
    <t xml:space="preserve">Graduates; MBA/PGDM admission at NMAT-accepting B-schools like NMIMS, SDA Bocconi, XIMB</t>
  </si>
  <si>
    <t xml:space="preserve">Annual testing cycle; exam window 05 Nov to 19 Dec 2025</t>
  </si>
  <si>
    <t xml:space="preserve">Exam fee as per GMAC schedule (approx Rs 2,800 plus in prior cycles)</t>
  </si>
  <si>
    <t xml:space="preserve">Registration 01 Aug to 18 Oct 2025 (extended from 10 Oct); exam scheduling till 25 Oct 2025; retakes 06 Nov to 16 Dec 2025</t>
  </si>
  <si>
    <t xml:space="preserve">mba.com/exams/nmat</t>
  </si>
  <si>
    <t xml:space="preserve">https://www.gmac.com/why-gmac/gmac-news/gmac-press-releases/registration-for-nmat-2025</t>
  </si>
  <si>
    <t xml:space="preserve">Dates verified from official GMAC press release; BSC issue appearance not directly verified</t>
  </si>
  <si>
    <t xml:space="preserve">SNAP 2025 (Symbiosis National Aptitude Test)</t>
  </si>
  <si>
    <t xml:space="preserve">Symbiosis International (Deemed University)</t>
  </si>
  <si>
    <t xml:space="preserve">Graduates with minimum 50 percent marks; MBA/PGDM at 17 Symbiosis institutes including SIBM Pune and SCMHRD</t>
  </si>
  <si>
    <t xml:space="preserve">Annual; tests on 06, 14 and 20 Dec 2025</t>
  </si>
  <si>
    <t xml:space="preserve">SNAP registration fee Rs 2,250 per test (plus taxes)</t>
  </si>
  <si>
    <t xml:space="preserve">Registration 01 Aug to 20 Nov 2025; tests 06 Dec, 14 Dec and 20 Dec 2025; best score counted; result 09 Jan 2026</t>
  </si>
  <si>
    <t xml:space="preserve">snaptest.org</t>
  </si>
  <si>
    <t xml:space="preserve">https://dook8hgmmt8xh.cloudfront.net/PDF/SNAP-2025-Bulletin-12-Aug.pdf</t>
  </si>
  <si>
    <t xml:space="preserve">Dates verified from official SNAP bulletin; BSC issue appearance not directly verified</t>
  </si>
  <si>
    <t xml:space="preserve">ATMA 2025 July session (AIMS Test for Management Admissions)</t>
  </si>
  <si>
    <t xml:space="preserve">Association of Indian Management Schools (AIMS)</t>
  </si>
  <si>
    <t xml:space="preserve">Graduates with 50 percent marks (45 percent for SC and ST); MBA, MMS, PGDM admission at 750+ colleges</t>
  </si>
  <si>
    <t xml:space="preserve">all (45 percent eligibility threshold for SC and ST)</t>
  </si>
  <si>
    <t xml:space="preserve">no age bar</t>
  </si>
  <si>
    <t xml:space="preserve">Multiple sessions a year; July 2025 session</t>
  </si>
  <si>
    <t xml:space="preserve">Application fee as per AIMS schedule</t>
  </si>
  <si>
    <t xml:space="preserve">Registration 02 Jun 2025 to 15 Jul 2025 (extended to 17 Jul); centre-based online exam 27 Jul 2025, 2 pm to 5 pm</t>
  </si>
  <si>
    <t xml:space="preserve">2025-06</t>
  </si>
  <si>
    <t xml:space="preserve">atmaaims.com</t>
  </si>
  <si>
    <t xml:space="preserve">https://bschool.careers360.com/articles/atma-2025</t>
  </si>
  <si>
    <t xml:space="preserve">Dates verified from careers360 coverage of the official AIMS schedule; BSC issue appearance not directly verified</t>
  </si>
  <si>
    <t xml:space="preserve">IIBF Diploma in Banking and Finance (DB and F) 2026 May cycle</t>
  </si>
  <si>
    <t xml:space="preserve">Indian Institute of Banking and Finance (IIBF)</t>
  </si>
  <si>
    <t xml:space="preserve">Graduates aiming at banking careers; entry-level professional qualification recognised by banks</t>
  </si>
  <si>
    <t xml:space="preserve">Two cycles a year; May 2026 exams</t>
  </si>
  <si>
    <t xml:space="preserve">Exam fee as per IIBF slabs (normal fee plus Rs 100 and Rs 200 for late windows)</t>
  </si>
  <si>
    <t xml:space="preserve">Registration 02 Feb 2026 to 22 Feb 2026 in three fee slabs; exams 03, 09, 10 and 17 May 2026 (online)</t>
  </si>
  <si>
    <t xml:space="preserve">2026-02</t>
  </si>
  <si>
    <t xml:space="preserve">iibf.org.in</t>
  </si>
  <si>
    <t xml:space="preserve">https://www.iibf.org.in/diploma-banking-finance</t>
  </si>
  <si>
    <t xml:space="preserve">Dates verified from official IIBF schedule; second 2026 cycle registration scheduled from Aug 2026 was postponed per IIBF notice; squarely within BSC banking-career coverage</t>
  </si>
  <si>
    <t xml:space="preserve">NIBM PGDM (Banking and Financial Services) 2026-28</t>
  </si>
  <si>
    <t xml:space="preserve">National Institute of Bank Management (NIBM), Pune, established by RBI</t>
  </si>
  <si>
    <t xml:space="preserve">Graduates with minimum 50 percent marks (45 percent for reserved categories); two-year banking and finance PGDM</t>
  </si>
  <si>
    <t xml:space="preserve">Annual; 2026-28 batch</t>
  </si>
  <si>
    <t xml:space="preserve">Application fee Rs 2,000; programme fees as per NIBM schedule</t>
  </si>
  <si>
    <t xml:space="preserve">Online application 27 Nov 2025 to 20 Mar 2026; selection via CAT 2025 or GMAT plus OCT and PI during Apr-May 2026; classes July 2026</t>
  </si>
  <si>
    <t xml:space="preserve">2025-12</t>
  </si>
  <si>
    <t xml:space="preserve">pgdm.nibmindia.org</t>
  </si>
  <si>
    <t xml:space="preserve">https://pgdm.nibmindia.org/media/documents/Prop_26__28.pdf</t>
  </si>
  <si>
    <t xml:space="preserve">Dates verified from official NIBM prospectus; a banking-sector B-school notification squarely within BSC coverage</t>
  </si>
  <si>
    <t xml:space="preserve">IRMA Anand PGDM (Rural Management) 2027-29</t>
  </si>
  <si>
    <t xml:space="preserve">Institute of Rural Management Anand (IRMA)</t>
  </si>
  <si>
    <t xml:space="preserve">Graduates with 50 percent marks (45 percent for reserved categories); accepts CAT 2026, XAT 2027 and CMAT 2027 scores</t>
  </si>
  <si>
    <t xml:space="preserve">Annual; 2027-29 batch</t>
  </si>
  <si>
    <t xml:space="preserve">Application fee approx Rs 2,000 for general category</t>
  </si>
  <si>
    <t xml:space="preserve">Application portal expected to open Sep 2026 with last date around Jan 2027; IWAT and PI Feb 2027; final result Mar 2027 (tentative)</t>
  </si>
  <si>
    <t xml:space="preserve">Dates TBA</t>
  </si>
  <si>
    <t xml:space="preserve">2026-09</t>
  </si>
  <si>
    <t xml:space="preserve">irma.ac.in</t>
  </si>
  <si>
    <t xml:space="preserve">https://www.collegedekho.com/colleges/irma/irma-anand-cat-cutoff-article-86546</t>
  </si>
  <si>
    <t xml:space="preserve">Official 2027-29 schedule not yet announced; timeline based on previous admission cycle per secondary sources; BSC issue appearance not directly verified</t>
  </si>
  <si>
    <t xml:space="preserve">BSC Academy Banking 2026 classroom and online batches</t>
  </si>
  <si>
    <t xml:space="preserve">BSC Academy Pvt Ltd (bscacademy.com)</t>
  </si>
  <si>
    <t xml:space="preserve">Bank PO, Clerk and SSC exam aspirants; classroom, online and correspondence coaching courses</t>
  </si>
  <si>
    <t xml:space="preserve">Rolling; new batches through 2026</t>
  </si>
  <si>
    <t xml:space="preserve">Course fees approx Rs 8,950 online and Rs 16,950 to Rs 20,000 offline per centre</t>
  </si>
  <si>
    <t xml:space="preserve">Admission open through 2026; BSC Banking Services Chronicle magazine and e-magazine subscriptions also sold via the site</t>
  </si>
  <si>
    <t xml:space="preserve">2026-01</t>
  </si>
  <si>
    <t xml:space="preserve">bscacademy.com</t>
  </si>
  <si>
    <t xml:space="preserve">https://bscacademy.org/courses/banking-course</t>
  </si>
  <si>
    <t xml:space="preserve">Admission announced on BSC Academy websites; the magazine's own admission pages regularly carry BSC course and subscription offers</t>
  </si>
  <si>
    <t xml:space="preserve">NITI Aayog Internship Scheme</t>
  </si>
  <si>
    <t xml:space="preserve">NITI Aayog, Government of India</t>
  </si>
  <si>
    <t xml:space="preserve">Undergraduate, postgraduate and research scholars at recognised universities in India or abroad; minimum 85 percent in Class 12 for UG, 70 percent in graduation for PG</t>
  </si>
  <si>
    <t xml:space="preserve">Rolling monthly; 6 weeks to 6 months duration</t>
  </si>
  <si>
    <t xml:space="preserve">Unpaid internship; workspace and internet provided by NITI Aayog</t>
  </si>
  <si>
    <t xml:space="preserve">Applications accepted online from the 1st to the 10th of every month; deadline is the 10th of the month preceding the desired internship month</t>
  </si>
  <si>
    <t xml:space="preserve">Rolling</t>
  </si>
  <si>
    <t xml:space="preserve">2026-04</t>
  </si>
  <si>
    <t xml:space="preserve">niti.gov.in</t>
  </si>
  <si>
    <t xml:space="preserve">https://www.niti.gov.in/internship</t>
  </si>
  <si>
    <t xml:space="preserve">Policy internship, not a job recruitment; well-known scheme consistent with BSC current-affairs coverage; BSC issue appearance not directly verified</t>
  </si>
  <si>
    <t xml:space="preserve">RBI Research Internship Scheme</t>
  </si>
  <si>
    <t xml:space="preserve">Reserve Bank of India</t>
  </si>
  <si>
    <t xml:space="preserve">Recent graduates and postgraduates in economics, finance, statistics, data science, MBA Finance or engineering; domestic and foreign students</t>
  </si>
  <si>
    <t xml:space="preserve">Two batches a year commencing 01 Jan and 01 Jul</t>
  </si>
  <si>
    <t xml:space="preserve">Stipend Rs 45,000 per month; 6 months extendable up to 2 years; based in Mumbai</t>
  </si>
  <si>
    <t xml:space="preserve">Application window Jan to May for the July batch and July to November for the January batch; maximum 20 interns a year across DEPR, DSIM, FSD and ID departments</t>
  </si>
  <si>
    <t xml:space="preserve">2025-05</t>
  </si>
  <si>
    <t xml:space="preserve">rbi.org.in</t>
  </si>
  <si>
    <t xml:space="preserve">https://www.rbi.org.in/scripts/Bs_viewcontent.aspx?Id=3496</t>
  </si>
  <si>
    <t xml:space="preserve">Central-banking research internship, not a job recruitment; scheme details verified from RBI website; BSC issue appearance not directly verified</t>
  </si>
  <si>
    <t xml:space="preserve">RBI Summer Internship Programme 2026</t>
  </si>
  <si>
    <t xml:space="preserve">Students seeking summer placement exposure to central banking work at RBI Central Office, Mumbai</t>
  </si>
  <si>
    <t xml:space="preserve">Annual; summer 2026 programme</t>
  </si>
  <si>
    <t xml:space="preserve">Stipend Rs 20,000 per month; selection via shortlisting and interview in Jan-Feb</t>
  </si>
  <si>
    <t xml:space="preserve">Online applications closed 15 Dec 2025; shortlisting and interviews Jan to Feb 2026</t>
  </si>
  <si>
    <t xml:space="preserve">opportunities.rbi.org.in</t>
  </si>
  <si>
    <t xml:space="preserve">https://www.indiatoday.in/education-today/scholarships/story/rbi-summer-internship-2026-eligibility-stipend-application-and-selection-details-2834873-2025-12-12</t>
  </si>
  <si>
    <t xml:space="preserve">Internship, not a job recruitment; deadline and stipend verified from India Today coverage of the RBI announcement; BSC issue appearance not directly verified</t>
  </si>
  <si>
    <t xml:space="preserve">HDFC Bank Parivartan ECSS Programme 2025-26</t>
  </si>
  <si>
    <t xml:space="preserve">HDFC Bank (Parivartan CSR initiative)</t>
  </si>
  <si>
    <t xml:space="preserve">Students of Class 1 to 12 and diploma, ITI, polytechnic, UG and PG courses facing personal or family crisis; minimum 55 percent in previous exam</t>
  </si>
  <si>
    <t xml:space="preserve">Annual family income up to Rs 2.5 lakh</t>
  </si>
  <si>
    <t xml:space="preserve">Annual with three application cycles</t>
  </si>
  <si>
    <t xml:space="preserve">Financial assistance up to Rs 75,000 (Rs 15,000 to 18,000 for school; up to Rs 50,000 UG and Rs 75,000 PG)</t>
  </si>
  <si>
    <t xml:space="preserve">Three cycles with deadlines 04 Sep 2025, 30 Oct 2025 and 31 Dec 2025; apply via Buddy4Study</t>
  </si>
  <si>
    <t xml:space="preserve">parivartanecss.com</t>
  </si>
  <si>
    <t xml:space="preserve">https://www.parivartanecss.com/</t>
  </si>
  <si>
    <t xml:space="preserve">Bank CSR scholarship well within BSC banking-sector coverage; a 2026-27 cycle page is live on the official portal; BSC issue appearance not directly verified</t>
  </si>
  <si>
    <t xml:space="preserve">Kotak Kanya Scholarship 2025-26</t>
  </si>
  <si>
    <t xml:space="preserve">Kotak Education Foundation (Kotak Mahindra Group CSR)</t>
  </si>
  <si>
    <t xml:space="preserve">Meritorious girl students who secured first-year admission to professional graduation courses (Engineering, MBBS, Integrated LLB, Design etc.) at NIRF or NAAC accredited institutes</t>
  </si>
  <si>
    <t xml:space="preserve">female</t>
  </si>
  <si>
    <t xml:space="preserve">Annual family income below Rs 6 lakh</t>
  </si>
  <si>
    <t xml:space="preserve">Class 12 with 75 percent or more marks required</t>
  </si>
  <si>
    <t xml:space="preserve">Annual; approx 500 scholarships in 2025</t>
  </si>
  <si>
    <t xml:space="preserve">Rs 1.5 lakh per year until completion of the professional graduation degree; covers fees, hostel, books and laptop</t>
  </si>
  <si>
    <t xml:space="preserve">Applications closed 15 Dec 2025 (initial deadline 30 Sep 2025); apply via Buddy4Study</t>
  </si>
  <si>
    <t xml:space="preserve">2025-09</t>
  </si>
  <si>
    <t xml:space="preserve">buddy4study.com</t>
  </si>
  <si>
    <t xml:space="preserve">https://www.indiatoday.in/education-today/scholarships/story/kotak-kanya-scholarship-2025-26-eligibility-benefits-how-to-apply-and-deadline-2834434-2025-12-11</t>
  </si>
  <si>
    <t xml:space="preserve">Bank-group CSR scholarship consistent with BSC coverage; income and award details verified from Thapar notice and India Today; BSC issue appearance not directly verified</t>
  </si>
  <si>
    <t xml:space="preserve">HDFC Bank Parivartan ECSS Scholarship 2026-27</t>
  </si>
  <si>
    <t xml:space="preserve">School (Class 1-12); diploma; ITI; polytechnic; UG; PG (general and professional)</t>
  </si>
  <si>
    <t xml:space="preserve">not stated</t>
  </si>
  <si>
    <t xml:space="preserve">2026-27 (Cycle 1)</t>
  </si>
  <si>
    <t xml:space="preserve">Up to Rs 75,000 (Class 1-6 Rs 15,000; Class 7-12/diploma/ITI/polytechnic Rs 18,000; UG general Rs 30,000; UG professional Rs 50,000; PG general Rs 35,000; PG professional Rs 75,000)</t>
  </si>
  <si>
    <t xml:space="preserve">Deadline 31 Oct 2026 (extended from 31 Aug 2026)</t>
  </si>
  <si>
    <t xml:space="preserve">2026-10</t>
  </si>
  <si>
    <t xml:space="preserve">https://www.parivartanecss.com</t>
  </si>
  <si>
    <t xml:space="preserve">https://articles.findmycollege.com/hdfc-scholarship-2026/</t>
  </si>
  <si>
    <t xml:space="preserve">Appearance in magazine INFERRED from normal coverage (bank CSR scholarship) - NOT directly verified</t>
  </si>
  <si>
    <t xml:space="preserve">IDFC FIRST Bank MBA Scholarship Program 2026-28</t>
  </si>
  <si>
    <t xml:space="preserve">IDFC FIRST Bank</t>
  </si>
  <si>
    <t xml:space="preserve">First-year students of a 2-year full-time on-campus MBA/PGDM at selected institutions</t>
  </si>
  <si>
    <t xml:space="preserve">Gross annual family income up to Rs 6 lakh</t>
  </si>
  <si>
    <t xml:space="preserve">2026-28 batch</t>
  </si>
  <si>
    <t xml:space="preserve">Up to Rs 1,00,000 per year (up to Rs 2,00,000 over two years)</t>
  </si>
  <si>
    <t xml:space="preserve">Applications closed; results declared last week of Oct 2026</t>
  </si>
  <si>
    <t xml:space="preserve">https://www.idfcfirst.bank.in/csr-activities/educational-initiatives/mba-scholarship</t>
  </si>
  <si>
    <t xml:space="preserve">Appearance in magazine INFERRED from normal coverage (bank-run scholarship) - NOT directly verified</t>
  </si>
  <si>
    <t xml:space="preserve">Bajaj Finserv Scholarship Program FY 2026-27</t>
  </si>
  <si>
    <t xml:space="preserve">Bajaj Finserv</t>
  </si>
  <si>
    <t xml:space="preserve">First-year MBA/PGDM/PGP and B.E./B.Tech./M.E./M.Tech (CS, IT, AI/ML, Data Science, Statistics)</t>
  </si>
  <si>
    <t xml:space="preserve">Annual parental income up to Rs 15 lakh</t>
  </si>
  <si>
    <t xml:space="preserve">FY 2026-27</t>
  </si>
  <si>
    <t xml:space="preserve">Up to Rs 10,00,000 per year (fee-linked slab)</t>
  </si>
  <si>
    <t xml:space="preserve">Deadline 5 Oct 2026</t>
  </si>
  <si>
    <t xml:space="preserve">https://internshala.com/competitions/bajaj-finserv-scholarship-program-fy-2026-27/</t>
  </si>
  <si>
    <t xml:space="preserve">Appearance in magazine INFERRED from normal coverage (finance-sector scholarship) - NOT directly verified</t>
  </si>
</sst>
</file>

<file path=xl/styles.xml><?xml version="1.0" encoding="utf-8"?>
<styleSheet xmlns="http://schemas.openxmlformats.org/spreadsheetml/2006/main">
  <numFmts count="2">
    <numFmt numFmtId="164" formatCode="General"/>
    <numFmt numFmtId="165" formatCode="General"/>
  </numFmts>
  <fonts count="11">
    <font>
      <sz val="11"/>
      <color rgb="FF000000"/>
      <name val="Calibri"/>
      <family val="2"/>
      <charset val="1"/>
    </font>
    <font>
      <sz val="10"/>
      <name val="Arial"/>
      <family val="0"/>
    </font>
    <font>
      <sz val="10"/>
      <name val="Arial"/>
      <family val="0"/>
    </font>
    <font>
      <sz val="10"/>
      <name val="Arial"/>
      <family val="0"/>
    </font>
    <font>
      <b val="true"/>
      <sz val="16"/>
      <color rgb="FF1F4E79"/>
      <name val="Arial"/>
      <family val="0"/>
      <charset val="1"/>
    </font>
    <font>
      <sz val="11"/>
      <color rgb="FF404040"/>
      <name val="Arial"/>
      <family val="0"/>
      <charset val="1"/>
    </font>
    <font>
      <b val="true"/>
      <sz val="12"/>
      <color rgb="FF1F4E79"/>
      <name val="Arial"/>
      <family val="0"/>
      <charset val="1"/>
    </font>
    <font>
      <sz val="10"/>
      <name val="Arial"/>
      <family val="0"/>
      <charset val="1"/>
    </font>
    <font>
      <b val="true"/>
      <sz val="10"/>
      <color rgb="FFFFFFFF"/>
      <name val="Arial"/>
      <family val="0"/>
      <charset val="1"/>
    </font>
    <font>
      <b val="true"/>
      <sz val="10"/>
      <name val="Arial"/>
      <family val="0"/>
      <charset val="1"/>
    </font>
    <font>
      <b val="true"/>
      <sz val="11"/>
      <color rgb="FF1F4E79"/>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FFC7CE"/>
        <bgColor rgb="FFEDEDED"/>
      </patternFill>
    </fill>
    <fill>
      <patternFill patternType="solid">
        <fgColor rgb="FFC6EFCE"/>
        <bgColor rgb="FFDDEBF7"/>
      </patternFill>
    </fill>
    <fill>
      <patternFill patternType="solid">
        <fgColor rgb="FFEDEDED"/>
        <bgColor rgb="FFDDEBF7"/>
      </patternFill>
    </fill>
    <fill>
      <patternFill patternType="solid">
        <fgColor rgb="FFDDEBF7"/>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DDEBF7"/>
        </patternFill>
      </fill>
    </dxf>
    <dxf>
      <fill>
        <patternFill patternType="solid">
          <fgColor rgb="FFEDEDED"/>
        </patternFill>
      </fill>
    </dxf>
    <dxf>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95"/>
    <col collapsed="false" customWidth="true" hidden="false" outlineLevel="0" max="4" min="4" style="1" width="16"/>
  </cols>
  <sheetData>
    <row r="2" customFormat="false" ht="1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3" t="s">
        <v>2</v>
      </c>
    </row>
    <row r="6" customFormat="false" ht="15" hidden="false" customHeight="true" outlineLevel="0" collapsed="false">
      <c r="B6" s="4" t="s">
        <v>3</v>
      </c>
    </row>
    <row r="7" customFormat="false" ht="15" hidden="false" customHeight="true" outlineLevel="0" collapsed="false">
      <c r="B7" s="5" t="s">
        <v>4</v>
      </c>
      <c r="C7" s="5"/>
      <c r="D7" s="5"/>
    </row>
    <row r="8" customFormat="false" ht="15" hidden="false" customHeight="true" outlineLevel="0" collapsed="false">
      <c r="B8" s="5"/>
      <c r="C8" s="5"/>
      <c r="D8" s="5"/>
    </row>
    <row r="9" customFormat="false" ht="15" hidden="false" customHeight="true" outlineLevel="0" collapsed="false">
      <c r="B9" s="5" t="s">
        <v>5</v>
      </c>
      <c r="C9" s="5"/>
      <c r="D9" s="5"/>
    </row>
    <row r="10" customFormat="false" ht="15" hidden="false" customHeight="true" outlineLevel="0" collapsed="false">
      <c r="B10" s="5"/>
      <c r="C10" s="5"/>
      <c r="D10" s="5"/>
    </row>
    <row r="11" customFormat="false" ht="15" hidden="false" customHeight="true" outlineLevel="0" collapsed="false">
      <c r="B11" s="5" t="s">
        <v>6</v>
      </c>
      <c r="C11" s="5"/>
      <c r="D11" s="5"/>
    </row>
    <row r="12" customFormat="false" ht="15" hidden="false" customHeight="true" outlineLevel="0" collapsed="false">
      <c r="B12" s="5"/>
      <c r="C12" s="5"/>
      <c r="D12" s="5"/>
    </row>
    <row r="13" customFormat="false" ht="15" hidden="false" customHeight="true" outlineLevel="0" collapsed="false">
      <c r="B13" s="5" t="s">
        <v>7</v>
      </c>
      <c r="C13" s="5"/>
      <c r="D13" s="5"/>
    </row>
    <row r="14" customFormat="false" ht="15" hidden="false" customHeight="true" outlineLevel="0" collapsed="false">
      <c r="B14" s="5"/>
      <c r="C14" s="5"/>
      <c r="D14" s="5"/>
    </row>
    <row r="17" customFormat="false" ht="15" hidden="false" customHeight="true" outlineLevel="0" collapsed="false">
      <c r="B17" s="4" t="s">
        <v>8</v>
      </c>
    </row>
    <row r="18" customFormat="false" ht="15" hidden="false" customHeight="true" outlineLevel="0" collapsed="false">
      <c r="B18" s="6" t="s">
        <v>9</v>
      </c>
      <c r="C18" s="6" t="s">
        <v>10</v>
      </c>
      <c r="D18" s="6" t="s">
        <v>11</v>
      </c>
    </row>
    <row r="19" customFormat="false" ht="15" hidden="false" customHeight="true" outlineLevel="0" collapsed="false">
      <c r="B19" s="7" t="s">
        <v>12</v>
      </c>
      <c r="C19" s="8" t="s">
        <v>13</v>
      </c>
      <c r="D19" s="9" t="n">
        <f aca="false">COUNTIF(Log!B2:B300,"Scholarship / Fellowship")</f>
        <v>5</v>
      </c>
    </row>
    <row r="20" customFormat="false" ht="15" hidden="false" customHeight="true" outlineLevel="0" collapsed="false">
      <c r="B20" s="7" t="s">
        <v>14</v>
      </c>
      <c r="C20" s="8" t="s">
        <v>15</v>
      </c>
      <c r="D20" s="9" t="n">
        <f aca="false">COUNTIF(Log!B2:B300,"Internship")</f>
        <v>3</v>
      </c>
    </row>
    <row r="21" customFormat="false" ht="15" hidden="false" customHeight="true" outlineLevel="0" collapsed="false">
      <c r="B21" s="7" t="s">
        <v>16</v>
      </c>
      <c r="C21" s="8" t="s">
        <v>17</v>
      </c>
      <c r="D21" s="9" t="n">
        <f aca="false">COUNTIF(Log!B2:B300,"Admission / Entrance Exam")</f>
        <v>15</v>
      </c>
    </row>
    <row r="23" customFormat="false" ht="15" hidden="false" customHeight="true" outlineLevel="0" collapsed="false">
      <c r="B23" s="10" t="s">
        <v>18</v>
      </c>
      <c r="D23" s="11" t="n">
        <f aca="false">COUNTA(Log!A2:A300)</f>
        <v>23</v>
      </c>
    </row>
  </sheetData>
  <mergeCells count="4">
    <mergeCell ref="B7:D8"/>
    <mergeCell ref="B9:D10"/>
    <mergeCell ref="B11:D12"/>
    <mergeCell ref="B13: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
    <col collapsed="false" customWidth="true" hidden="false" outlineLevel="0" max="2" min="2" style="1" width="17"/>
    <col collapsed="false" customWidth="true" hidden="false" outlineLevel="0" max="3" min="3" style="1" width="40"/>
    <col collapsed="false" customWidth="true" hidden="false" outlineLevel="0" max="4" min="4" style="1" width="30"/>
    <col collapsed="false" customWidth="true" hidden="false" outlineLevel="0" max="5" min="5" style="1" width="38"/>
    <col collapsed="false" customWidth="true" hidden="false" outlineLevel="0" max="6" min="6" style="1" width="20"/>
    <col collapsed="false" customWidth="true" hidden="false" outlineLevel="0" max="7" min="7" style="1" width="10"/>
    <col collapsed="false" customWidth="true" hidden="false" outlineLevel="0" max="8" min="8" style="1" width="16"/>
    <col collapsed="false" customWidth="true" hidden="false" outlineLevel="0" max="9" min="9" style="1" width="12"/>
    <col collapsed="false" customWidth="true" hidden="false" outlineLevel="0" max="10" min="10" style="1" width="18"/>
    <col collapsed="false" customWidth="true" hidden="false" outlineLevel="0" max="12" min="11" style="1" width="26"/>
    <col collapsed="false" customWidth="true" hidden="false" outlineLevel="0" max="13" min="13" style="1" width="12"/>
    <col collapsed="false" customWidth="true" hidden="false" outlineLevel="0" max="14" min="14" style="1" width="13"/>
    <col collapsed="false" customWidth="true" hidden="false" outlineLevel="0" max="15" min="15" style="1" width="30"/>
    <col collapsed="false" customWidth="true" hidden="false" outlineLevel="0" max="16" min="16" style="1" width="34"/>
    <col collapsed="false" customWidth="true" hidden="false" outlineLevel="0" max="17" min="17" style="1" width="38"/>
  </cols>
  <sheetData>
    <row r="1" customFormat="false" ht="15" hidden="false" customHeight="true" outlineLevel="0" collapsed="false">
      <c r="A1" s="12" t="s">
        <v>19</v>
      </c>
      <c r="B1" s="12" t="s">
        <v>20</v>
      </c>
      <c r="C1" s="12" t="s">
        <v>21</v>
      </c>
      <c r="D1" s="12" t="s">
        <v>22</v>
      </c>
      <c r="E1" s="12" t="s">
        <v>23</v>
      </c>
      <c r="F1" s="12" t="s">
        <v>24</v>
      </c>
      <c r="G1" s="12" t="s">
        <v>25</v>
      </c>
      <c r="H1" s="12" t="s">
        <v>26</v>
      </c>
      <c r="I1" s="12" t="s">
        <v>27</v>
      </c>
      <c r="J1" s="12" t="s">
        <v>28</v>
      </c>
      <c r="K1" s="12" t="s">
        <v>29</v>
      </c>
      <c r="L1" s="12" t="s">
        <v>30</v>
      </c>
      <c r="M1" s="12" t="s">
        <v>31</v>
      </c>
      <c r="N1" s="12" t="s">
        <v>32</v>
      </c>
      <c r="O1" s="12" t="s">
        <v>33</v>
      </c>
      <c r="P1" s="12" t="s">
        <v>34</v>
      </c>
      <c r="Q1" s="12" t="s">
        <v>35</v>
      </c>
    </row>
    <row r="2" customFormat="false" ht="15" hidden="false" customHeight="true" outlineLevel="0" collapsed="false">
      <c r="A2" s="8" t="n">
        <v>1</v>
      </c>
      <c r="B2" s="8" t="s">
        <v>16</v>
      </c>
      <c r="C2" s="8" t="s">
        <v>36</v>
      </c>
      <c r="D2" s="8" t="s">
        <v>37</v>
      </c>
      <c r="E2" s="8" t="s">
        <v>38</v>
      </c>
      <c r="F2" s="8" t="s">
        <v>39</v>
      </c>
      <c r="G2" s="8" t="s">
        <v>39</v>
      </c>
      <c r="H2" s="8" t="s">
        <v>40</v>
      </c>
      <c r="I2" s="8" t="s">
        <v>41</v>
      </c>
      <c r="J2" s="8" t="s">
        <v>42</v>
      </c>
      <c r="K2" s="8" t="s">
        <v>43</v>
      </c>
      <c r="L2" s="8" t="s">
        <v>44</v>
      </c>
      <c r="M2" s="13" t="s">
        <v>45</v>
      </c>
      <c r="N2" s="8" t="s">
        <v>46</v>
      </c>
      <c r="O2" s="8" t="s">
        <v>47</v>
      </c>
      <c r="P2" s="8" t="s">
        <v>48</v>
      </c>
      <c r="Q2" s="8" t="s">
        <v>49</v>
      </c>
    </row>
    <row r="3" customFormat="false" ht="15" hidden="false" customHeight="true" outlineLevel="0" collapsed="false">
      <c r="A3" s="8" t="n">
        <v>2</v>
      </c>
      <c r="B3" s="8" t="s">
        <v>16</v>
      </c>
      <c r="C3" s="8" t="s">
        <v>50</v>
      </c>
      <c r="D3" s="8" t="s">
        <v>51</v>
      </c>
      <c r="E3" s="8" t="s">
        <v>52</v>
      </c>
      <c r="F3" s="8" t="s">
        <v>39</v>
      </c>
      <c r="G3" s="8" t="s">
        <v>39</v>
      </c>
      <c r="H3" s="8" t="s">
        <v>40</v>
      </c>
      <c r="I3" s="8" t="s">
        <v>41</v>
      </c>
      <c r="J3" s="8" t="s">
        <v>53</v>
      </c>
      <c r="K3" s="8" t="s">
        <v>54</v>
      </c>
      <c r="L3" s="8" t="s">
        <v>55</v>
      </c>
      <c r="M3" s="13" t="s">
        <v>45</v>
      </c>
      <c r="N3" s="8" t="s">
        <v>56</v>
      </c>
      <c r="O3" s="8" t="s">
        <v>47</v>
      </c>
      <c r="P3" s="8" t="s">
        <v>57</v>
      </c>
      <c r="Q3" s="8" t="s">
        <v>58</v>
      </c>
    </row>
    <row r="4" customFormat="false" ht="15" hidden="false" customHeight="true" outlineLevel="0" collapsed="false">
      <c r="A4" s="8" t="n">
        <v>3</v>
      </c>
      <c r="B4" s="8" t="s">
        <v>16</v>
      </c>
      <c r="C4" s="8" t="s">
        <v>59</v>
      </c>
      <c r="D4" s="8" t="s">
        <v>60</v>
      </c>
      <c r="E4" s="8" t="s">
        <v>61</v>
      </c>
      <c r="F4" s="8" t="s">
        <v>39</v>
      </c>
      <c r="G4" s="8" t="s">
        <v>39</v>
      </c>
      <c r="H4" s="8" t="s">
        <v>40</v>
      </c>
      <c r="I4" s="8" t="s">
        <v>41</v>
      </c>
      <c r="J4" s="8" t="s">
        <v>62</v>
      </c>
      <c r="K4" s="8" t="s">
        <v>63</v>
      </c>
      <c r="L4" s="8" t="s">
        <v>64</v>
      </c>
      <c r="M4" s="13" t="s">
        <v>45</v>
      </c>
      <c r="N4" s="8" t="s">
        <v>65</v>
      </c>
      <c r="O4" s="8" t="s">
        <v>66</v>
      </c>
      <c r="P4" s="8" t="s">
        <v>67</v>
      </c>
      <c r="Q4" s="8" t="s">
        <v>68</v>
      </c>
    </row>
    <row r="5" customFormat="false" ht="15" hidden="false" customHeight="true" outlineLevel="0" collapsed="false">
      <c r="A5" s="8" t="n">
        <v>4</v>
      </c>
      <c r="B5" s="8" t="s">
        <v>16</v>
      </c>
      <c r="C5" s="8" t="s">
        <v>69</v>
      </c>
      <c r="D5" s="8" t="s">
        <v>70</v>
      </c>
      <c r="E5" s="8" t="s">
        <v>71</v>
      </c>
      <c r="F5" s="8" t="s">
        <v>39</v>
      </c>
      <c r="G5" s="8" t="s">
        <v>39</v>
      </c>
      <c r="H5" s="8" t="s">
        <v>40</v>
      </c>
      <c r="I5" s="8" t="s">
        <v>41</v>
      </c>
      <c r="J5" s="8" t="s">
        <v>72</v>
      </c>
      <c r="K5" s="8" t="s">
        <v>73</v>
      </c>
      <c r="L5" s="8" t="s">
        <v>74</v>
      </c>
      <c r="M5" s="14" t="s">
        <v>75</v>
      </c>
      <c r="N5" s="8" t="s">
        <v>76</v>
      </c>
      <c r="O5" s="8" t="s">
        <v>66</v>
      </c>
      <c r="P5" s="8" t="s">
        <v>77</v>
      </c>
      <c r="Q5" s="8" t="s">
        <v>78</v>
      </c>
    </row>
    <row r="6" customFormat="false" ht="15" hidden="false" customHeight="true" outlineLevel="0" collapsed="false">
      <c r="A6" s="8" t="n">
        <v>5</v>
      </c>
      <c r="B6" s="8" t="s">
        <v>16</v>
      </c>
      <c r="C6" s="8" t="s">
        <v>79</v>
      </c>
      <c r="D6" s="8" t="s">
        <v>80</v>
      </c>
      <c r="E6" s="8" t="s">
        <v>81</v>
      </c>
      <c r="F6" s="8" t="s">
        <v>39</v>
      </c>
      <c r="G6" s="8" t="s">
        <v>39</v>
      </c>
      <c r="H6" s="8" t="s">
        <v>40</v>
      </c>
      <c r="I6" s="8" t="s">
        <v>41</v>
      </c>
      <c r="J6" s="8" t="s">
        <v>82</v>
      </c>
      <c r="K6" s="8" t="s">
        <v>83</v>
      </c>
      <c r="L6" s="8" t="s">
        <v>84</v>
      </c>
      <c r="M6" s="13" t="s">
        <v>45</v>
      </c>
      <c r="N6" s="8" t="s">
        <v>65</v>
      </c>
      <c r="O6" s="8" t="s">
        <v>85</v>
      </c>
      <c r="P6" s="8" t="s">
        <v>86</v>
      </c>
      <c r="Q6" s="8" t="s">
        <v>87</v>
      </c>
    </row>
    <row r="7" customFormat="false" ht="15" hidden="false" customHeight="true" outlineLevel="0" collapsed="false">
      <c r="A7" s="8" t="n">
        <v>6</v>
      </c>
      <c r="B7" s="8" t="s">
        <v>16</v>
      </c>
      <c r="C7" s="8" t="s">
        <v>88</v>
      </c>
      <c r="D7" s="8" t="s">
        <v>80</v>
      </c>
      <c r="E7" s="8" t="s">
        <v>89</v>
      </c>
      <c r="F7" s="8" t="s">
        <v>39</v>
      </c>
      <c r="G7" s="8" t="s">
        <v>39</v>
      </c>
      <c r="H7" s="8" t="s">
        <v>40</v>
      </c>
      <c r="I7" s="8" t="s">
        <v>41</v>
      </c>
      <c r="J7" s="8" t="s">
        <v>90</v>
      </c>
      <c r="K7" s="8" t="s">
        <v>83</v>
      </c>
      <c r="L7" s="8" t="s">
        <v>91</v>
      </c>
      <c r="M7" s="13" t="s">
        <v>45</v>
      </c>
      <c r="N7" s="8" t="s">
        <v>92</v>
      </c>
      <c r="O7" s="8" t="s">
        <v>85</v>
      </c>
      <c r="P7" s="8" t="s">
        <v>93</v>
      </c>
      <c r="Q7" s="8" t="s">
        <v>94</v>
      </c>
    </row>
    <row r="8" customFormat="false" ht="15" hidden="false" customHeight="true" outlineLevel="0" collapsed="false">
      <c r="A8" s="8" t="n">
        <v>7</v>
      </c>
      <c r="B8" s="8" t="s">
        <v>16</v>
      </c>
      <c r="C8" s="8" t="s">
        <v>95</v>
      </c>
      <c r="D8" s="8" t="s">
        <v>80</v>
      </c>
      <c r="E8" s="8" t="s">
        <v>81</v>
      </c>
      <c r="F8" s="8" t="s">
        <v>39</v>
      </c>
      <c r="G8" s="8" t="s">
        <v>39</v>
      </c>
      <c r="H8" s="8" t="s">
        <v>40</v>
      </c>
      <c r="I8" s="8" t="s">
        <v>41</v>
      </c>
      <c r="J8" s="8" t="s">
        <v>96</v>
      </c>
      <c r="K8" s="8" t="s">
        <v>97</v>
      </c>
      <c r="L8" s="8" t="s">
        <v>98</v>
      </c>
      <c r="M8" s="13" t="s">
        <v>45</v>
      </c>
      <c r="N8" s="8" t="s">
        <v>56</v>
      </c>
      <c r="O8" s="8" t="s">
        <v>85</v>
      </c>
      <c r="P8" s="8" t="s">
        <v>99</v>
      </c>
      <c r="Q8" s="8" t="s">
        <v>100</v>
      </c>
    </row>
    <row r="9" customFormat="false" ht="15" hidden="false" customHeight="true" outlineLevel="0" collapsed="false">
      <c r="A9" s="8" t="n">
        <v>8</v>
      </c>
      <c r="B9" s="8" t="s">
        <v>16</v>
      </c>
      <c r="C9" s="8" t="s">
        <v>101</v>
      </c>
      <c r="D9" s="8" t="s">
        <v>102</v>
      </c>
      <c r="E9" s="8" t="s">
        <v>103</v>
      </c>
      <c r="F9" s="8" t="s">
        <v>39</v>
      </c>
      <c r="G9" s="8" t="s">
        <v>39</v>
      </c>
      <c r="H9" s="8" t="s">
        <v>40</v>
      </c>
      <c r="I9" s="8" t="s">
        <v>41</v>
      </c>
      <c r="J9" s="8" t="s">
        <v>104</v>
      </c>
      <c r="K9" s="8" t="s">
        <v>105</v>
      </c>
      <c r="L9" s="8" t="s">
        <v>106</v>
      </c>
      <c r="M9" s="13" t="s">
        <v>45</v>
      </c>
      <c r="N9" s="8" t="s">
        <v>107</v>
      </c>
      <c r="O9" s="8" t="s">
        <v>108</v>
      </c>
      <c r="P9" s="8" t="s">
        <v>109</v>
      </c>
      <c r="Q9" s="8" t="s">
        <v>110</v>
      </c>
    </row>
    <row r="10" customFormat="false" ht="15" hidden="false" customHeight="true" outlineLevel="0" collapsed="false">
      <c r="A10" s="8" t="n">
        <v>9</v>
      </c>
      <c r="B10" s="8" t="s">
        <v>16</v>
      </c>
      <c r="C10" s="8" t="s">
        <v>111</v>
      </c>
      <c r="D10" s="8" t="s">
        <v>112</v>
      </c>
      <c r="E10" s="8" t="s">
        <v>113</v>
      </c>
      <c r="F10" s="8" t="s">
        <v>39</v>
      </c>
      <c r="G10" s="8" t="s">
        <v>39</v>
      </c>
      <c r="H10" s="8" t="s">
        <v>40</v>
      </c>
      <c r="I10" s="8" t="s">
        <v>41</v>
      </c>
      <c r="J10" s="8" t="s">
        <v>114</v>
      </c>
      <c r="K10" s="8" t="s">
        <v>115</v>
      </c>
      <c r="L10" s="8" t="s">
        <v>116</v>
      </c>
      <c r="M10" s="13" t="s">
        <v>45</v>
      </c>
      <c r="N10" s="8" t="s">
        <v>46</v>
      </c>
      <c r="O10" s="8" t="s">
        <v>117</v>
      </c>
      <c r="P10" s="8" t="s">
        <v>118</v>
      </c>
      <c r="Q10" s="8" t="s">
        <v>119</v>
      </c>
    </row>
    <row r="11" customFormat="false" ht="15" hidden="false" customHeight="true" outlineLevel="0" collapsed="false">
      <c r="A11" s="8" t="n">
        <v>10</v>
      </c>
      <c r="B11" s="8" t="s">
        <v>16</v>
      </c>
      <c r="C11" s="8" t="s">
        <v>120</v>
      </c>
      <c r="D11" s="8" t="s">
        <v>121</v>
      </c>
      <c r="E11" s="8" t="s">
        <v>122</v>
      </c>
      <c r="F11" s="8" t="s">
        <v>39</v>
      </c>
      <c r="G11" s="8" t="s">
        <v>39</v>
      </c>
      <c r="H11" s="8" t="s">
        <v>40</v>
      </c>
      <c r="I11" s="8" t="s">
        <v>41</v>
      </c>
      <c r="J11" s="8" t="s">
        <v>123</v>
      </c>
      <c r="K11" s="8" t="s">
        <v>124</v>
      </c>
      <c r="L11" s="8" t="s">
        <v>125</v>
      </c>
      <c r="M11" s="13" t="s">
        <v>45</v>
      </c>
      <c r="N11" s="8" t="s">
        <v>46</v>
      </c>
      <c r="O11" s="8" t="s">
        <v>126</v>
      </c>
      <c r="P11" s="8" t="s">
        <v>127</v>
      </c>
      <c r="Q11" s="8" t="s">
        <v>128</v>
      </c>
    </row>
    <row r="12" customFormat="false" ht="15" hidden="false" customHeight="true" outlineLevel="0" collapsed="false">
      <c r="A12" s="8" t="n">
        <v>11</v>
      </c>
      <c r="B12" s="8" t="s">
        <v>16</v>
      </c>
      <c r="C12" s="8" t="s">
        <v>129</v>
      </c>
      <c r="D12" s="8" t="s">
        <v>130</v>
      </c>
      <c r="E12" s="8" t="s">
        <v>131</v>
      </c>
      <c r="F12" s="8" t="s">
        <v>132</v>
      </c>
      <c r="G12" s="8" t="s">
        <v>39</v>
      </c>
      <c r="H12" s="8" t="s">
        <v>40</v>
      </c>
      <c r="I12" s="8" t="s">
        <v>133</v>
      </c>
      <c r="J12" s="8" t="s">
        <v>134</v>
      </c>
      <c r="K12" s="8" t="s">
        <v>135</v>
      </c>
      <c r="L12" s="8" t="s">
        <v>136</v>
      </c>
      <c r="M12" s="13" t="s">
        <v>45</v>
      </c>
      <c r="N12" s="8" t="s">
        <v>137</v>
      </c>
      <c r="O12" s="8" t="s">
        <v>138</v>
      </c>
      <c r="P12" s="8" t="s">
        <v>139</v>
      </c>
      <c r="Q12" s="8" t="s">
        <v>140</v>
      </c>
    </row>
    <row r="13" customFormat="false" ht="15" hidden="false" customHeight="true" outlineLevel="0" collapsed="false">
      <c r="A13" s="8" t="n">
        <v>12</v>
      </c>
      <c r="B13" s="8" t="s">
        <v>16</v>
      </c>
      <c r="C13" s="8" t="s">
        <v>141</v>
      </c>
      <c r="D13" s="8" t="s">
        <v>142</v>
      </c>
      <c r="E13" s="8" t="s">
        <v>143</v>
      </c>
      <c r="F13" s="8" t="s">
        <v>39</v>
      </c>
      <c r="G13" s="8" t="s">
        <v>39</v>
      </c>
      <c r="H13" s="8" t="s">
        <v>40</v>
      </c>
      <c r="I13" s="8" t="s">
        <v>41</v>
      </c>
      <c r="J13" s="8" t="s">
        <v>144</v>
      </c>
      <c r="K13" s="8" t="s">
        <v>145</v>
      </c>
      <c r="L13" s="8" t="s">
        <v>146</v>
      </c>
      <c r="M13" s="13" t="s">
        <v>45</v>
      </c>
      <c r="N13" s="8" t="s">
        <v>147</v>
      </c>
      <c r="O13" s="8" t="s">
        <v>148</v>
      </c>
      <c r="P13" s="8" t="s">
        <v>149</v>
      </c>
      <c r="Q13" s="8" t="s">
        <v>150</v>
      </c>
    </row>
    <row r="14" customFormat="false" ht="15" hidden="false" customHeight="true" outlineLevel="0" collapsed="false">
      <c r="A14" s="8" t="n">
        <v>13</v>
      </c>
      <c r="B14" s="8" t="s">
        <v>16</v>
      </c>
      <c r="C14" s="8" t="s">
        <v>151</v>
      </c>
      <c r="D14" s="8" t="s">
        <v>152</v>
      </c>
      <c r="E14" s="8" t="s">
        <v>153</v>
      </c>
      <c r="F14" s="8" t="s">
        <v>39</v>
      </c>
      <c r="G14" s="8" t="s">
        <v>39</v>
      </c>
      <c r="H14" s="8" t="s">
        <v>40</v>
      </c>
      <c r="I14" s="8" t="s">
        <v>41</v>
      </c>
      <c r="J14" s="8" t="s">
        <v>154</v>
      </c>
      <c r="K14" s="8" t="s">
        <v>155</v>
      </c>
      <c r="L14" s="8" t="s">
        <v>156</v>
      </c>
      <c r="M14" s="13" t="s">
        <v>45</v>
      </c>
      <c r="N14" s="8" t="s">
        <v>157</v>
      </c>
      <c r="O14" s="8" t="s">
        <v>158</v>
      </c>
      <c r="P14" s="8" t="s">
        <v>159</v>
      </c>
      <c r="Q14" s="8" t="s">
        <v>160</v>
      </c>
    </row>
    <row r="15" customFormat="false" ht="15" hidden="false" customHeight="true" outlineLevel="0" collapsed="false">
      <c r="A15" s="8" t="n">
        <v>14</v>
      </c>
      <c r="B15" s="8" t="s">
        <v>16</v>
      </c>
      <c r="C15" s="8" t="s">
        <v>161</v>
      </c>
      <c r="D15" s="8" t="s">
        <v>162</v>
      </c>
      <c r="E15" s="8" t="s">
        <v>163</v>
      </c>
      <c r="F15" s="8" t="s">
        <v>39</v>
      </c>
      <c r="G15" s="8" t="s">
        <v>39</v>
      </c>
      <c r="H15" s="8" t="s">
        <v>40</v>
      </c>
      <c r="I15" s="8" t="s">
        <v>41</v>
      </c>
      <c r="J15" s="8" t="s">
        <v>164</v>
      </c>
      <c r="K15" s="8" t="s">
        <v>165</v>
      </c>
      <c r="L15" s="8" t="s">
        <v>166</v>
      </c>
      <c r="M15" s="15" t="s">
        <v>167</v>
      </c>
      <c r="N15" s="8" t="s">
        <v>168</v>
      </c>
      <c r="O15" s="8" t="s">
        <v>169</v>
      </c>
      <c r="P15" s="8" t="s">
        <v>170</v>
      </c>
      <c r="Q15" s="8" t="s">
        <v>171</v>
      </c>
    </row>
    <row r="16" customFormat="false" ht="15" hidden="false" customHeight="true" outlineLevel="0" collapsed="false">
      <c r="A16" s="8" t="n">
        <v>15</v>
      </c>
      <c r="B16" s="8" t="s">
        <v>16</v>
      </c>
      <c r="C16" s="8" t="s">
        <v>172</v>
      </c>
      <c r="D16" s="8" t="s">
        <v>173</v>
      </c>
      <c r="E16" s="8" t="s">
        <v>174</v>
      </c>
      <c r="F16" s="8" t="s">
        <v>39</v>
      </c>
      <c r="G16" s="8" t="s">
        <v>39</v>
      </c>
      <c r="H16" s="8" t="s">
        <v>40</v>
      </c>
      <c r="I16" s="8" t="s">
        <v>40</v>
      </c>
      <c r="J16" s="8" t="s">
        <v>175</v>
      </c>
      <c r="K16" s="8" t="s">
        <v>176</v>
      </c>
      <c r="L16" s="8" t="s">
        <v>177</v>
      </c>
      <c r="M16" s="14" t="s">
        <v>75</v>
      </c>
      <c r="N16" s="8" t="s">
        <v>178</v>
      </c>
      <c r="O16" s="8" t="s">
        <v>179</v>
      </c>
      <c r="P16" s="8" t="s">
        <v>180</v>
      </c>
      <c r="Q16" s="8" t="s">
        <v>181</v>
      </c>
    </row>
    <row r="17" customFormat="false" ht="15" hidden="false" customHeight="true" outlineLevel="0" collapsed="false">
      <c r="A17" s="8" t="n">
        <v>16</v>
      </c>
      <c r="B17" s="8" t="s">
        <v>14</v>
      </c>
      <c r="C17" s="8" t="s">
        <v>182</v>
      </c>
      <c r="D17" s="8" t="s">
        <v>183</v>
      </c>
      <c r="E17" s="8" t="s">
        <v>184</v>
      </c>
      <c r="F17" s="8" t="s">
        <v>39</v>
      </c>
      <c r="G17" s="8" t="s">
        <v>39</v>
      </c>
      <c r="H17" s="8" t="s">
        <v>40</v>
      </c>
      <c r="I17" s="8" t="s">
        <v>40</v>
      </c>
      <c r="J17" s="8" t="s">
        <v>185</v>
      </c>
      <c r="K17" s="8" t="s">
        <v>186</v>
      </c>
      <c r="L17" s="8" t="s">
        <v>187</v>
      </c>
      <c r="M17" s="16" t="s">
        <v>188</v>
      </c>
      <c r="N17" s="8" t="s">
        <v>189</v>
      </c>
      <c r="O17" s="8" t="s">
        <v>190</v>
      </c>
      <c r="P17" s="8" t="s">
        <v>191</v>
      </c>
      <c r="Q17" s="8" t="s">
        <v>192</v>
      </c>
    </row>
    <row r="18" customFormat="false" ht="15" hidden="false" customHeight="true" outlineLevel="0" collapsed="false">
      <c r="A18" s="8" t="n">
        <v>17</v>
      </c>
      <c r="B18" s="8" t="s">
        <v>14</v>
      </c>
      <c r="C18" s="8" t="s">
        <v>193</v>
      </c>
      <c r="D18" s="8" t="s">
        <v>194</v>
      </c>
      <c r="E18" s="8" t="s">
        <v>195</v>
      </c>
      <c r="F18" s="8" t="s">
        <v>39</v>
      </c>
      <c r="G18" s="8" t="s">
        <v>39</v>
      </c>
      <c r="H18" s="8" t="s">
        <v>40</v>
      </c>
      <c r="I18" s="8" t="s">
        <v>40</v>
      </c>
      <c r="J18" s="8" t="s">
        <v>196</v>
      </c>
      <c r="K18" s="8" t="s">
        <v>197</v>
      </c>
      <c r="L18" s="8" t="s">
        <v>198</v>
      </c>
      <c r="M18" s="16" t="s">
        <v>188</v>
      </c>
      <c r="N18" s="8" t="s">
        <v>199</v>
      </c>
      <c r="O18" s="8" t="s">
        <v>200</v>
      </c>
      <c r="P18" s="8" t="s">
        <v>201</v>
      </c>
      <c r="Q18" s="8" t="s">
        <v>202</v>
      </c>
    </row>
    <row r="19" customFormat="false" ht="15" hidden="false" customHeight="true" outlineLevel="0" collapsed="false">
      <c r="A19" s="8" t="n">
        <v>18</v>
      </c>
      <c r="B19" s="8" t="s">
        <v>14</v>
      </c>
      <c r="C19" s="8" t="s">
        <v>203</v>
      </c>
      <c r="D19" s="8" t="s">
        <v>194</v>
      </c>
      <c r="E19" s="8" t="s">
        <v>204</v>
      </c>
      <c r="F19" s="8" t="s">
        <v>39</v>
      </c>
      <c r="G19" s="8" t="s">
        <v>39</v>
      </c>
      <c r="H19" s="8" t="s">
        <v>40</v>
      </c>
      <c r="I19" s="8" t="s">
        <v>40</v>
      </c>
      <c r="J19" s="8" t="s">
        <v>205</v>
      </c>
      <c r="K19" s="8" t="s">
        <v>206</v>
      </c>
      <c r="L19" s="8" t="s">
        <v>207</v>
      </c>
      <c r="M19" s="13" t="s">
        <v>45</v>
      </c>
      <c r="N19" s="8" t="s">
        <v>157</v>
      </c>
      <c r="O19" s="8" t="s">
        <v>208</v>
      </c>
      <c r="P19" s="8" t="s">
        <v>209</v>
      </c>
      <c r="Q19" s="8" t="s">
        <v>210</v>
      </c>
    </row>
    <row r="20" customFormat="false" ht="15" hidden="false" customHeight="true" outlineLevel="0" collapsed="false">
      <c r="A20" s="8" t="n">
        <v>19</v>
      </c>
      <c r="B20" s="8" t="s">
        <v>12</v>
      </c>
      <c r="C20" s="8" t="s">
        <v>211</v>
      </c>
      <c r="D20" s="8" t="s">
        <v>212</v>
      </c>
      <c r="E20" s="8" t="s">
        <v>213</v>
      </c>
      <c r="F20" s="8" t="s">
        <v>39</v>
      </c>
      <c r="G20" s="8" t="s">
        <v>39</v>
      </c>
      <c r="H20" s="8" t="s">
        <v>214</v>
      </c>
      <c r="I20" s="8" t="s">
        <v>40</v>
      </c>
      <c r="J20" s="8" t="s">
        <v>215</v>
      </c>
      <c r="K20" s="8" t="s">
        <v>216</v>
      </c>
      <c r="L20" s="8" t="s">
        <v>217</v>
      </c>
      <c r="M20" s="13" t="s">
        <v>45</v>
      </c>
      <c r="N20" s="8" t="s">
        <v>65</v>
      </c>
      <c r="O20" s="8" t="s">
        <v>218</v>
      </c>
      <c r="P20" s="8" t="s">
        <v>219</v>
      </c>
      <c r="Q20" s="8" t="s">
        <v>220</v>
      </c>
    </row>
    <row r="21" customFormat="false" ht="15" hidden="false" customHeight="true" outlineLevel="0" collapsed="false">
      <c r="A21" s="8" t="n">
        <v>20</v>
      </c>
      <c r="B21" s="8" t="s">
        <v>12</v>
      </c>
      <c r="C21" s="8" t="s">
        <v>221</v>
      </c>
      <c r="D21" s="8" t="s">
        <v>222</v>
      </c>
      <c r="E21" s="8" t="s">
        <v>223</v>
      </c>
      <c r="F21" s="8" t="s">
        <v>39</v>
      </c>
      <c r="G21" s="8" t="s">
        <v>224</v>
      </c>
      <c r="H21" s="8" t="s">
        <v>225</v>
      </c>
      <c r="I21" s="8" t="s">
        <v>226</v>
      </c>
      <c r="J21" s="8" t="s">
        <v>227</v>
      </c>
      <c r="K21" s="8" t="s">
        <v>228</v>
      </c>
      <c r="L21" s="8" t="s">
        <v>229</v>
      </c>
      <c r="M21" s="13" t="s">
        <v>45</v>
      </c>
      <c r="N21" s="8" t="s">
        <v>230</v>
      </c>
      <c r="O21" s="8" t="s">
        <v>231</v>
      </c>
      <c r="P21" s="8" t="s">
        <v>232</v>
      </c>
      <c r="Q21" s="8" t="s">
        <v>233</v>
      </c>
    </row>
    <row r="22" customFormat="false" ht="15" hidden="false" customHeight="false" outlineLevel="0" collapsed="false">
      <c r="A22" s="8" t="n">
        <v>21</v>
      </c>
      <c r="B22" s="8" t="s">
        <v>12</v>
      </c>
      <c r="C22" s="8" t="s">
        <v>234</v>
      </c>
      <c r="D22" s="8" t="s">
        <v>212</v>
      </c>
      <c r="E22" s="8" t="s">
        <v>235</v>
      </c>
      <c r="F22" s="8" t="s">
        <v>39</v>
      </c>
      <c r="G22" s="8" t="s">
        <v>39</v>
      </c>
      <c r="H22" s="8" t="s">
        <v>214</v>
      </c>
      <c r="I22" s="8" t="s">
        <v>236</v>
      </c>
      <c r="J22" s="8" t="s">
        <v>237</v>
      </c>
      <c r="K22" s="8" t="s">
        <v>238</v>
      </c>
      <c r="L22" s="8" t="s">
        <v>239</v>
      </c>
      <c r="M22" s="14" t="s">
        <v>75</v>
      </c>
      <c r="N22" s="8" t="s">
        <v>240</v>
      </c>
      <c r="O22" s="8" t="s">
        <v>241</v>
      </c>
      <c r="P22" s="8" t="s">
        <v>242</v>
      </c>
      <c r="Q22" s="8" t="s">
        <v>243</v>
      </c>
    </row>
    <row r="23" customFormat="false" ht="15" hidden="false" customHeight="false" outlineLevel="0" collapsed="false">
      <c r="A23" s="8" t="n">
        <v>22</v>
      </c>
      <c r="B23" s="8" t="s">
        <v>12</v>
      </c>
      <c r="C23" s="8" t="s">
        <v>244</v>
      </c>
      <c r="D23" s="8" t="s">
        <v>245</v>
      </c>
      <c r="E23" s="8" t="s">
        <v>246</v>
      </c>
      <c r="F23" s="8" t="s">
        <v>39</v>
      </c>
      <c r="G23" s="8" t="s">
        <v>39</v>
      </c>
      <c r="H23" s="8" t="s">
        <v>247</v>
      </c>
      <c r="I23" s="8" t="s">
        <v>236</v>
      </c>
      <c r="J23" s="8" t="s">
        <v>248</v>
      </c>
      <c r="K23" s="8" t="s">
        <v>249</v>
      </c>
      <c r="L23" s="8" t="s">
        <v>250</v>
      </c>
      <c r="M23" s="13" t="s">
        <v>45</v>
      </c>
      <c r="N23" s="8" t="s">
        <v>240</v>
      </c>
      <c r="O23" s="8" t="s">
        <v>251</v>
      </c>
      <c r="P23" s="8" t="s">
        <v>251</v>
      </c>
      <c r="Q23" s="8" t="s">
        <v>252</v>
      </c>
    </row>
    <row r="24" customFormat="false" ht="15" hidden="false" customHeight="false" outlineLevel="0" collapsed="false">
      <c r="A24" s="8" t="n">
        <v>23</v>
      </c>
      <c r="B24" s="8" t="s">
        <v>12</v>
      </c>
      <c r="C24" s="8" t="s">
        <v>253</v>
      </c>
      <c r="D24" s="8" t="s">
        <v>254</v>
      </c>
      <c r="E24" s="8" t="s">
        <v>255</v>
      </c>
      <c r="F24" s="8" t="s">
        <v>39</v>
      </c>
      <c r="G24" s="8" t="s">
        <v>39</v>
      </c>
      <c r="H24" s="8" t="s">
        <v>256</v>
      </c>
      <c r="I24" s="8" t="s">
        <v>236</v>
      </c>
      <c r="J24" s="8" t="s">
        <v>257</v>
      </c>
      <c r="K24" s="8" t="s">
        <v>258</v>
      </c>
      <c r="L24" s="8" t="s">
        <v>259</v>
      </c>
      <c r="M24" s="13" t="s">
        <v>45</v>
      </c>
      <c r="N24" s="8" t="s">
        <v>240</v>
      </c>
      <c r="O24" s="8" t="s">
        <v>260</v>
      </c>
      <c r="P24" s="8" t="s">
        <v>260</v>
      </c>
      <c r="Q24" s="8" t="s">
        <v>261</v>
      </c>
    </row>
  </sheetData>
  <autoFilter ref="A1:Q2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2026-09-28T06:29:37Z</dcterms:created>
  <dc:creator>openpyxl</dc:creator>
  <dc:description/>
  <dc:language>en-US</dc:language>
  <cp:lastModifiedBy/>
  <dcterms:modified xsi:type="dcterms:W3CDTF">2026-10-21T11:31:02Z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