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Log" sheetId="2" state="visible" r:id="rId2"/>
  </sheets>
  <definedNames>
    <definedName name="_xlnm._FilterDatabase" localSheetId="1" hidden="1">'Log'!$A$1:$Q$27</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6"/>
    </font>
    <font>
      <name val="Arial"/>
      <charset val="1"/>
      <family val="0"/>
      <color rgb="FF404040"/>
      <sz val="11"/>
    </font>
    <font>
      <name val="Arial"/>
      <charset val="1"/>
      <family val="0"/>
      <b val="1"/>
      <color rgb="FF1F4E79"/>
      <sz val="12"/>
    </font>
    <font>
      <name val="Arial"/>
      <charset val="1"/>
      <family val="0"/>
      <sz val="10"/>
    </font>
    <font>
      <name val="Arial"/>
      <charset val="1"/>
      <family val="0"/>
      <b val="1"/>
      <color rgb="FFFFFFFF"/>
      <sz val="10"/>
    </font>
    <font>
      <name val="Arial"/>
      <charset val="1"/>
      <family val="0"/>
      <b val="1"/>
      <sz val="10"/>
    </font>
    <font>
      <name val="Arial"/>
      <charset val="1"/>
      <family val="0"/>
      <b val="1"/>
      <color rgb="FF1F4E79"/>
      <sz val="11"/>
    </font>
  </fonts>
  <fills count="6">
    <fill>
      <patternFill/>
    </fill>
    <fill>
      <patternFill patternType="gray125"/>
    </fill>
    <fill>
      <patternFill patternType="solid">
        <fgColor rgb="FF1F4E79"/>
        <bgColor rgb="FF003366"/>
      </patternFill>
    </fill>
    <fill>
      <patternFill patternType="solid">
        <fgColor rgb="FFFFC7CE"/>
        <bgColor rgb="FFCCCCFF"/>
      </patternFill>
    </fill>
    <fill>
      <patternFill patternType="solid">
        <fgColor rgb="FFDDEBF7"/>
        <bgColor rgb="FFCCFFFF"/>
      </patternFill>
    </fill>
    <fill>
      <patternFill patternType="solid">
        <fgColor rgb="FFC6EFCE"/>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DDEBF7"/>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D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3" customWidth="1" style="16" min="1" max="1"/>
    <col width="30" customWidth="1" style="16" min="2" max="2"/>
    <col width="95" customWidth="1" style="16" min="3" max="3"/>
    <col width="16" customWidth="1" style="16" min="4" max="4"/>
  </cols>
  <sheetData>
    <row r="1"/>
    <row r="2" ht="15" customHeight="1" s="17">
      <c r="B2" s="18" t="inlineStr">
        <is>
          <t>Success Mirror - Opportunities Log</t>
        </is>
      </c>
    </row>
    <row r="3" ht="15" customHeight="1" s="17">
      <c r="B3" s="19" t="inlineStr">
        <is>
          <t>Coverage window: April 2025 - October 2026 (19 months) | Sections logged: scholarships &amp; fellowships, internships, admissions &amp; entrance exams (no government job recruitment, per scope)</t>
        </is>
      </c>
    </row>
    <row r="4" ht="15" customHeight="1" s="17">
      <c r="B4" s="19" t="inlineStr">
        <is>
          <t>Compiled 28 September 2026 | updated 21 October 2026 with the 1-21 October 2026 scrape</t>
        </is>
      </c>
    </row>
    <row r="5"/>
    <row r="6" ht="15" customHeight="1" s="17">
      <c r="B6" s="20" t="inlineStr">
        <is>
          <t>Method &amp; caveats</t>
        </is>
      </c>
    </row>
    <row r="7" ht="15" customHeight="1" s="17">
      <c r="B7" s="21" t="inlineStr">
        <is>
          <t>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is>
      </c>
    </row>
    <row r="8" ht="15" customHeight="1" s="17"/>
    <row r="9" ht="15" customHeight="1" s="17">
      <c r="B9" s="21" t="inlineStr">
        <is>
          <t>Coverage Month = the month(s) the item appeared (or would customarily appear) in the magazine, based on the notification's own public timeline.</t>
        </is>
      </c>
    </row>
    <row r="10" ht="15" customHeight="1" s="17"/>
    <row r="11" ht="15" customHeight="1" s="17">
      <c r="B11" s="21" t="inlineStr">
        <is>
          <t>Status is as of 28 September 2026: green = open now, blue = rolling applications, amber = upcoming, grey = dates to be announced, red = closed. Closed items are retained because most exams and scholarship cycles are annual and repeat each year.</t>
        </is>
      </c>
    </row>
    <row r="12" ht="15" customHeight="1" s="17"/>
    <row r="13" ht="15" customHeight="1" s="17">
      <c r="B13" s="21" t="inlineStr">
        <is>
          <t>Deadlines and fees change - always verify on the Official Website column before relying on any date. This is an information compilation, not an endorsement; never apply through third-party paid agents.</t>
        </is>
      </c>
    </row>
    <row r="14" ht="15" customHeight="1" s="17"/>
    <row r="15"/>
    <row r="16"/>
    <row r="17" ht="15" customHeight="1" s="17">
      <c r="B17" s="20" t="inlineStr">
        <is>
          <t>Entries by section</t>
        </is>
      </c>
    </row>
    <row r="18" ht="15" customHeight="1" s="17">
      <c r="B18" s="22" t="inlineStr">
        <is>
          <t>Section</t>
        </is>
      </c>
      <c r="C18" s="22" t="inlineStr">
        <is>
          <t>Description</t>
        </is>
      </c>
      <c r="D18" s="22" t="inlineStr">
        <is>
          <t>Count</t>
        </is>
      </c>
    </row>
    <row r="19" ht="15" customHeight="1" s="17">
      <c r="B19" s="23" t="inlineStr">
        <is>
          <t>Scholarship / Fellowship</t>
        </is>
      </c>
      <c r="C19" s="24" t="inlineStr">
        <is>
          <t>Government, trust and CSR scholarships and fellowships covered in this window.</t>
        </is>
      </c>
      <c r="D19" s="25">
        <f>COUNTIF(Log!B2:B300,"Scholarship / Fellowship")</f>
        <v/>
      </c>
    </row>
    <row r="20" ht="15" customHeight="1" s="17">
      <c r="B20" s="23" t="inlineStr">
        <is>
          <t>Internship</t>
        </is>
      </c>
      <c r="C20" s="24" t="inlineStr">
        <is>
          <t>Internship programmes covered in this window.</t>
        </is>
      </c>
      <c r="D20" s="25">
        <f>COUNTIF(Log!B2:B300,"Internship")</f>
        <v/>
      </c>
    </row>
    <row r="21" ht="15" customHeight="1" s="17">
      <c r="B21" s="23" t="inlineStr">
        <is>
          <t>Admission / Entrance Exam</t>
        </is>
      </c>
      <c r="C21" s="24" t="inlineStr">
        <is>
          <t>University/institute admissions and entrance exam notifications (CUET, GATE, CAT, CLAT, EAPCET etc.).</t>
        </is>
      </c>
      <c r="D21" s="25">
        <f>COUNTIF(Log!B2:B300,"Admission / Entrance Exam")</f>
        <v/>
      </c>
    </row>
    <row r="22"/>
    <row r="23" ht="15" customHeight="1" s="17">
      <c r="B23" s="26" t="inlineStr">
        <is>
          <t>Total entries</t>
        </is>
      </c>
      <c r="D23" s="27">
        <f>COUNTA(Log!A2:A300)</f>
        <v/>
      </c>
    </row>
  </sheetData>
  <mergeCells count="4">
    <mergeCell ref="B11:D12"/>
    <mergeCell ref="B9:D10"/>
    <mergeCell ref="B7:D8"/>
    <mergeCell ref="B13: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3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59765625" defaultRowHeight="15" zeroHeight="0" outlineLevelRow="0"/>
  <cols>
    <col width="5" customWidth="1" style="16" min="1" max="1"/>
    <col width="17" customWidth="1" style="16" min="2" max="2"/>
    <col width="40" customWidth="1" style="16" min="3" max="3"/>
    <col width="30" customWidth="1" style="16" min="4" max="4"/>
    <col width="38" customWidth="1" style="16" min="5" max="5"/>
    <col width="20" customWidth="1" style="16" min="6" max="6"/>
    <col width="10" customWidth="1" style="16" min="7" max="7"/>
    <col width="16" customWidth="1" style="16" min="8" max="8"/>
    <col width="12" customWidth="1" style="16" min="9" max="9"/>
    <col width="18" customWidth="1" style="16" min="10" max="10"/>
    <col width="26" customWidth="1" style="16" min="11" max="12"/>
    <col width="12" customWidth="1" style="16" min="13" max="13"/>
    <col width="13" customWidth="1" style="16" min="14" max="14"/>
    <col width="30" customWidth="1" style="16" min="15" max="15"/>
    <col width="34" customWidth="1" style="16" min="16" max="16"/>
    <col width="38" customWidth="1" style="16" min="17" max="17"/>
  </cols>
  <sheetData>
    <row r="1" ht="15" customHeight="1" s="17">
      <c r="A1" s="28" t="inlineStr">
        <is>
          <t>S.No</t>
        </is>
      </c>
      <c r="B1" s="28" t="inlineStr">
        <is>
          <t>Type</t>
        </is>
      </c>
      <c r="C1" s="28" t="inlineStr">
        <is>
          <t>Name</t>
        </is>
      </c>
      <c r="D1" s="28" t="inlineStr">
        <is>
          <t>Organiser</t>
        </is>
      </c>
      <c r="E1" s="28" t="inlineStr">
        <is>
          <t>For (Education Background)</t>
        </is>
      </c>
      <c r="F1" s="28" t="inlineStr">
        <is>
          <t>Caste / Community</t>
        </is>
      </c>
      <c r="G1" s="28" t="inlineStr">
        <is>
          <t>Gender</t>
        </is>
      </c>
      <c r="H1" s="28" t="inlineStr">
        <is>
          <t>Income Limit</t>
        </is>
      </c>
      <c r="I1" s="28" t="inlineStr">
        <is>
          <t>Age Limit</t>
        </is>
      </c>
      <c r="J1" s="28" t="inlineStr">
        <is>
          <t>Cycle</t>
        </is>
      </c>
      <c r="K1" s="28" t="inlineStr">
        <is>
          <t>Award / Stipend / Fees</t>
        </is>
      </c>
      <c r="L1" s="28" t="inlineStr">
        <is>
          <t>Deadline / Window</t>
        </is>
      </c>
      <c r="M1" s="28" t="inlineStr">
        <is>
          <t>Status</t>
        </is>
      </c>
      <c r="N1" s="28" t="inlineStr">
        <is>
          <t>Coverage Month</t>
        </is>
      </c>
      <c r="O1" s="28" t="inlineStr">
        <is>
          <t>Official Website</t>
        </is>
      </c>
      <c r="P1" s="28" t="inlineStr">
        <is>
          <t>Source(s)</t>
        </is>
      </c>
      <c r="Q1" s="28" t="inlineStr">
        <is>
          <t>Notes</t>
        </is>
      </c>
    </row>
    <row r="2" ht="15" customHeight="1" s="17">
      <c r="A2" s="24" t="n">
        <v>1</v>
      </c>
      <c r="B2" s="24" t="inlineStr">
        <is>
          <t>Scholarship / Fellowship</t>
        </is>
      </c>
      <c r="C2" s="24" t="inlineStr">
        <is>
          <t>National Scholarship Portal (NSP) 2025-26 fresh and renewal applications</t>
        </is>
      </c>
      <c r="D2" s="24" t="inlineStr">
        <is>
          <t>Government of India, multiple ministries, portal administered via scholarships.gov.in</t>
        </is>
      </c>
      <c r="E2" s="24" t="inlineStr">
        <is>
          <t>Pre-matric, post-matric, merit and top-class scholarship schemes for school to postgraduate students</t>
        </is>
      </c>
      <c r="F2" s="24" t="inlineStr">
        <is>
          <t>Scheme-dependent, covers SC, ST, OBC, EBC, DNT, minority and general category students</t>
        </is>
      </c>
      <c r="G2" s="24" t="inlineStr">
        <is>
          <t>All</t>
        </is>
      </c>
      <c r="H2" s="24" t="inlineStr">
        <is>
          <t>Varies by scheme</t>
        </is>
      </c>
      <c r="I2" s="24" t="inlineStr">
        <is>
          <t>Varies by scheme</t>
        </is>
      </c>
      <c r="J2" s="24" t="inlineStr">
        <is>
          <t>Annual, academic year 2025-26</t>
        </is>
      </c>
      <c r="K2" s="24" t="inlineStr">
        <is>
          <t>Varies by scheme</t>
        </is>
      </c>
      <c r="L2" s="24" t="inlineStr">
        <is>
          <t>Applications opened 2 Jun 2025; last dates 31 Oct 2025 (several pre-matric schemes) and 15 Nov 2025 (post-matric and top-class), extended to 15 Dec 2025 for several schemes</t>
        </is>
      </c>
      <c r="M2" s="29" t="inlineStr">
        <is>
          <t>Closed</t>
        </is>
      </c>
      <c r="N2" s="24" t="inlineStr">
        <is>
          <t>2025-07</t>
        </is>
      </c>
      <c r="O2" s="24" t="inlineStr">
        <is>
          <t>scholarships.gov.in</t>
        </is>
      </c>
      <c r="P2" s="24" t="inlineStr">
        <is>
          <t>https://school.careers360.com/articles/national-scholarship-portal</t>
        </is>
      </c>
      <c r="Q2" s="24" t="inlineStr">
        <is>
          <t>Well-known central portal; coverage month inferred from portal opening date. Not directly verified in a specific issue because Success Mirror digital issues on epapr are image-based. Dates verified from NSP extension letters and Careers360.</t>
        </is>
      </c>
    </row>
    <row r="3" ht="15" customHeight="1" s="17">
      <c r="A3" s="24" t="n">
        <v>2</v>
      </c>
      <c r="B3" s="24" t="inlineStr">
        <is>
          <t>Scholarship / Fellowship</t>
        </is>
      </c>
      <c r="C3" s="24" t="inlineStr">
        <is>
          <t>PM YASASVI Top Class School Education for OBC, EBC and DNT Students 2025-26</t>
        </is>
      </c>
      <c r="D3" s="24" t="inlineStr">
        <is>
          <t>Ministry of Social Justice and Empowerment, Government of India</t>
        </is>
      </c>
      <c r="E3" s="24" t="inlineStr">
        <is>
          <t>Class 9 to Class 12 in identified schools</t>
        </is>
      </c>
      <c r="F3" s="24" t="inlineStr">
        <is>
          <t>OBC, EBC and DNT students</t>
        </is>
      </c>
      <c r="G3" s="24" t="inlineStr">
        <is>
          <t>All</t>
        </is>
      </c>
      <c r="H3" s="24" t="inlineStr">
        <is>
          <t>Family income up to Rs 2,50,000 per annum</t>
        </is>
      </c>
      <c r="I3" s="24" t="inlineStr">
        <is>
          <t>Not specified</t>
        </is>
      </c>
      <c r="J3" s="24" t="inlineStr">
        <is>
          <t>Annual, academic year 2025-26</t>
        </is>
      </c>
      <c r="K3" s="24" t="inlineStr">
        <is>
          <t>Rs 75,000 per annum for classes 9-10 and Rs 1,25,000 per annum for classes 11-12, paid via DBT</t>
        </is>
      </c>
      <c r="L3" s="24" t="inlineStr">
        <is>
          <t>Applications 2 Jun 2025 to 31 Aug 2025; school verification till 15 Sep 2025; state verification till 30 Sep 2025</t>
        </is>
      </c>
      <c r="M3" s="29" t="inlineStr">
        <is>
          <t>Closed</t>
        </is>
      </c>
      <c r="N3" s="24" t="inlineStr">
        <is>
          <t>2025-06</t>
        </is>
      </c>
      <c r="O3" s="24" t="inlineStr">
        <is>
          <t>scholarships.gov.in</t>
        </is>
      </c>
      <c r="P3" s="24" t="inlineStr">
        <is>
          <t>https://www.collegesearch.in/articles/pm-yasasvi-top-class-education-obc-ebc-dnt-2025</t>
        </is>
      </c>
      <c r="Q3" s="24" t="inlineStr">
        <is>
          <t>Within the magazine's normal career-awareness coverage; not directly verified in a specific issue. Dates and amounts verified from scheme listings and NSP guidelines.</t>
        </is>
      </c>
    </row>
    <row r="4" ht="15" customHeight="1" s="17">
      <c r="A4" s="24" t="n">
        <v>3</v>
      </c>
      <c r="B4" s="24" t="inlineStr">
        <is>
          <t>Scholarship / Fellowship</t>
        </is>
      </c>
      <c r="C4" s="24" t="inlineStr">
        <is>
          <t>AICTE Pragati Scholarship Scheme 2025-26 for girl students</t>
        </is>
      </c>
      <c r="D4" s="24" t="inlineStr">
        <is>
          <t>All India Council for Technical Education (AICTE)</t>
        </is>
      </c>
      <c r="E4" s="24" t="inlineStr">
        <is>
          <t>First-year girl students in AICTE-approved technical degree and diploma programmes (also second-year lateral entry)</t>
        </is>
      </c>
      <c r="F4" s="24" t="inlineStr">
        <is>
          <t>Open to all categories</t>
        </is>
      </c>
      <c r="G4" s="24" t="inlineStr">
        <is>
          <t>Female, up to two girls per family</t>
        </is>
      </c>
      <c r="H4" s="24" t="inlineStr">
        <is>
          <t>Family income below Rs 8 lakh per annum</t>
        </is>
      </c>
      <c r="I4" s="24" t="inlineStr">
        <is>
          <t>Not specified</t>
        </is>
      </c>
      <c r="J4" s="24" t="inlineStr">
        <is>
          <t>Annual, academic year 2025-26</t>
        </is>
      </c>
      <c r="K4" s="24" t="inlineStr">
        <is>
          <t>Rs 50,000 per annum, about 5,000 scholarships per year</t>
        </is>
      </c>
      <c r="L4" s="24" t="inlineStr">
        <is>
          <t>AICTE advertisement dated 18 Jun 2025; applications open with last date 31 Oct 2025, extended to 15 Dec 2025</t>
        </is>
      </c>
      <c r="M4" s="29" t="inlineStr">
        <is>
          <t>Closed</t>
        </is>
      </c>
      <c r="N4" s="24" t="inlineStr">
        <is>
          <t>2025-07</t>
        </is>
      </c>
      <c r="O4" s="24" t="inlineStr">
        <is>
          <t>scholarships.gov.in</t>
        </is>
      </c>
      <c r="P4" s="24" t="inlineStr">
        <is>
          <t>https://www.aimsr.edu.in/wp-content/uploads/2025/08/AICTE-Pragati-Scholarship-for-Girls-2025-26.pdf</t>
        </is>
      </c>
      <c r="Q4" s="24" t="inlineStr">
        <is>
          <t>Well-known scheme within the magazine's normal coverage; coverage month inferred from the AICTE advertisement date. Not directly verified in a specific issue.</t>
        </is>
      </c>
    </row>
    <row r="5" ht="15" customHeight="1" s="17">
      <c r="A5" s="24" t="n">
        <v>4</v>
      </c>
      <c r="B5" s="24" t="inlineStr">
        <is>
          <t>Scholarship / Fellowship</t>
        </is>
      </c>
      <c r="C5" s="24" t="inlineStr">
        <is>
          <t>AICTE Saksham Scholarship Scheme 2025-26 for specially-abled students</t>
        </is>
      </c>
      <c r="D5" s="24" t="inlineStr">
        <is>
          <t>All India Council for Technical Education (AICTE)</t>
        </is>
      </c>
      <c r="E5" s="24" t="inlineStr">
        <is>
          <t>First-year and lateral-entry students with 40 percent or more disability in AICTE-approved degree and diploma programmes</t>
        </is>
      </c>
      <c r="F5" s="24" t="inlineStr">
        <is>
          <t>Open to all categories, no caste-based reservation</t>
        </is>
      </c>
      <c r="G5" s="24" t="inlineStr">
        <is>
          <t>All</t>
        </is>
      </c>
      <c r="H5" s="24" t="inlineStr">
        <is>
          <t>Family income below Rs 8 lakh per annum</t>
        </is>
      </c>
      <c r="I5" s="24" t="inlineStr">
        <is>
          <t>Not specified</t>
        </is>
      </c>
      <c r="J5" s="24" t="inlineStr">
        <is>
          <t>Annual, academic year 2025-26</t>
        </is>
      </c>
      <c r="K5" s="24" t="inlineStr">
        <is>
          <t>Rs 50,000 per annum towards college fee, computer, books and equipment</t>
        </is>
      </c>
      <c r="L5" s="24" t="inlineStr">
        <is>
          <t>Applications open with last date 31 Oct 2025, extended to 15 Dec 2025, per AICTE advertisement of 18 Jun 2025</t>
        </is>
      </c>
      <c r="M5" s="29" t="inlineStr">
        <is>
          <t>Closed</t>
        </is>
      </c>
      <c r="N5" s="24" t="inlineStr">
        <is>
          <t>2025-07</t>
        </is>
      </c>
      <c r="O5" s="24" t="inlineStr">
        <is>
          <t>scholarships.gov.in</t>
        </is>
      </c>
      <c r="P5" s="24" t="inlineStr">
        <is>
          <t>http://www.nalbaripolytechnic.in/document/AICTE%20Notification%20A.Y.%202025-26.pdf</t>
        </is>
      </c>
      <c r="Q5" s="24" t="inlineStr">
        <is>
          <t>Well-known scheme within the magazine's normal coverage; coverage month inferred from advertisement date. Amount and eligibility verified from AICTE scheme FAQs on NSP.</t>
        </is>
      </c>
    </row>
    <row r="6" ht="15" customHeight="1" s="17">
      <c r="A6" s="24" t="n">
        <v>5</v>
      </c>
      <c r="B6" s="24" t="inlineStr">
        <is>
          <t>Scholarship / Fellowship</t>
        </is>
      </c>
      <c r="C6" s="24" t="inlineStr">
        <is>
          <t>INSPIRE Scholarship for Higher Education (SHE) 2025</t>
        </is>
      </c>
      <c r="D6" s="24" t="inlineStr">
        <is>
          <t>Department of Science and Technology, Ministry of Science and Technology</t>
        </is>
      </c>
      <c r="E6" s="24" t="inlineStr">
        <is>
          <t>B.Sc., B.S., B.Sc. Research and integrated M.Sc./M.S. in basic and natural sciences for top 1 percent Class 12 performers and top 10,000 JEE or NEET rankers</t>
        </is>
      </c>
      <c r="F6" s="24" t="inlineStr">
        <is>
          <t>Open to all categories</t>
        </is>
      </c>
      <c r="G6" s="24" t="inlineStr">
        <is>
          <t>All</t>
        </is>
      </c>
      <c r="H6" s="24" t="inlineStr">
        <is>
          <t>Not applicable</t>
        </is>
      </c>
      <c r="I6" s="24" t="inlineStr">
        <is>
          <t>17 to 22 years</t>
        </is>
      </c>
      <c r="J6" s="24" t="inlineStr">
        <is>
          <t>Annual</t>
        </is>
      </c>
      <c r="K6" s="24" t="inlineStr">
        <is>
          <t>Rs 80,000 per annum value comprising Rs 60,000 scholarship plus Rs 20,000 mentorship grant; about 12,000 scholarships</t>
        </is>
      </c>
      <c r="L6" s="24" t="inlineStr">
        <is>
          <t>Call reported around the second week of Sep 2025 with submission open till the last week of Nov 2025</t>
        </is>
      </c>
      <c r="M6" s="29" t="inlineStr">
        <is>
          <t>Closed</t>
        </is>
      </c>
      <c r="N6" s="24" t="inlineStr">
        <is>
          <t>2025-09</t>
        </is>
      </c>
      <c r="O6" s="24" t="inlineStr">
        <is>
          <t>online-inspire.gov.in</t>
        </is>
      </c>
      <c r="P6" s="24" t="inlineStr">
        <is>
          <t>https://www.sarvgyan.com/articles/kvpy-inspire-2025</t>
        </is>
      </c>
      <c r="Q6" s="24" t="inlineStr">
        <is>
          <t>The 2025 application window is as reported by career portals tracking the DST call; exact official dates could not be confirmed from a primary notice. Not directly verified in a specific issue.</t>
        </is>
      </c>
    </row>
    <row r="7" ht="15" customHeight="1" s="17">
      <c r="A7" s="24" t="n">
        <v>6</v>
      </c>
      <c r="B7" s="24" t="inlineStr">
        <is>
          <t>Scholarship / Fellowship</t>
        </is>
      </c>
      <c r="C7" s="24" t="inlineStr">
        <is>
          <t>Prime Minister's Research Fellowship (PMRF) May 2026 cycle</t>
        </is>
      </c>
      <c r="D7" s="24" t="inlineStr">
        <is>
          <t>Ministry of Education, Government of India, coordinated via IIT Madras PMRF portal</t>
        </is>
      </c>
      <c r="E7" s="24" t="inlineStr">
        <is>
          <t>Direct entry to PhD programmes at IISc, IITs and other select central institutions in engineering, sciences and mathematics</t>
        </is>
      </c>
      <c r="F7" s="24" t="inlineStr">
        <is>
          <t>Open to all categories</t>
        </is>
      </c>
      <c r="G7" s="24" t="inlineStr">
        <is>
          <t>All</t>
        </is>
      </c>
      <c r="H7" s="24" t="inlineStr">
        <is>
          <t>Not applicable</t>
        </is>
      </c>
      <c r="I7" s="24" t="inlineStr">
        <is>
          <t>As per institute PhD norms, no separate age bar</t>
        </is>
      </c>
      <c r="J7" s="24" t="inlineStr">
        <is>
          <t>Twice a year, May and December cycles</t>
        </is>
      </c>
      <c r="K7" s="24" t="inlineStr">
        <is>
          <t>Rs 70,000 to 80,000 per month plus Rs 2 lakh per year research grant, as per scheme terms</t>
        </is>
      </c>
      <c r="L7" s="24" t="inlineStr">
        <is>
          <t>Portal opened for nominations early Mar 2026; institute nominations late Mar 2026; application deadline mid-Apr to May 2026 as variously listed; results Jul 2026</t>
        </is>
      </c>
      <c r="M7" s="29" t="inlineStr">
        <is>
          <t>Closed</t>
        </is>
      </c>
      <c r="N7" s="24" t="inlineStr">
        <is>
          <t>2026-03</t>
        </is>
      </c>
      <c r="O7" s="24" t="inlineStr">
        <is>
          <t>pmrf.in</t>
        </is>
      </c>
      <c r="P7" s="24" t="inlineStr">
        <is>
          <t>https://thefellowships.in/pmrf/</t>
        </is>
      </c>
      <c r="Q7" s="24" t="inlineStr">
        <is>
          <t>Cycle dates compiled from the PMRF calendar and fellowship trackers. The May 2026 cycle has closed; the December 2026 cycle was expected around Oct-Nov 2026. Not directly verified in a specific issue.</t>
        </is>
      </c>
    </row>
    <row r="8" ht="15" customHeight="1" s="17">
      <c r="A8" s="24" t="n">
        <v>7</v>
      </c>
      <c r="B8" s="24" t="inlineStr">
        <is>
          <t>Scholarship / Fellowship</t>
        </is>
      </c>
      <c r="C8" s="24" t="inlineStr">
        <is>
          <t>Reliance Foundation Undergraduate and Postgraduate Scholarships 2025-26</t>
        </is>
      </c>
      <c r="D8" s="24" t="inlineStr">
        <is>
          <t>Reliance Foundation</t>
        </is>
      </c>
      <c r="E8" s="24" t="inlineStr">
        <is>
          <t>First-year full-time undergraduate students in any stream and first-year postgraduate students in select engineering, technology, energy and life sciences fields</t>
        </is>
      </c>
      <c r="F8" s="24" t="inlineStr">
        <is>
          <t>Open to all categories</t>
        </is>
      </c>
      <c r="G8" s="24" t="inlineStr">
        <is>
          <t>All</t>
        </is>
      </c>
      <c r="H8" s="24" t="inlineStr">
        <is>
          <t>Undergraduate merit-cum-means scholarship for household income below Rs 15 lakh, preference for below Rs 2.5 lakh; postgraduate award is merit-based</t>
        </is>
      </c>
      <c r="I8" s="24" t="inlineStr">
        <is>
          <t>Not specified</t>
        </is>
      </c>
      <c r="J8" s="24" t="inlineStr">
        <is>
          <t>Annual, academic year 2025-26</t>
        </is>
      </c>
      <c r="K8" s="24" t="inlineStr">
        <is>
          <t>Up to Rs 2 lakh per UG scholar for about 5,000 students and up to Rs 6 lakh per PG scholar for 100 students</t>
        </is>
      </c>
      <c r="L8" s="24" t="inlineStr">
        <is>
          <t>Applications opened 21 Aug 2025; last date 4 Oct 2025, extended to 7 Oct 2025</t>
        </is>
      </c>
      <c r="M8" s="29" t="inlineStr">
        <is>
          <t>Closed</t>
        </is>
      </c>
      <c r="N8" s="24" t="inlineStr">
        <is>
          <t>2025-09</t>
        </is>
      </c>
      <c r="O8" s="24" t="inlineStr">
        <is>
          <t>scholarships.reliancefoundation.org</t>
        </is>
      </c>
      <c r="P8" s="24" t="inlineStr">
        <is>
          <t>https://www.indiatoday.in/education-today/scholarships/story/reliance-foundation-scholarships-2025-eligibility-deadline-benefits-and-application-process-2797209-2025-10-03</t>
        </is>
      </c>
      <c r="Q8" s="24" t="inlineStr">
        <is>
          <t>Well-known private scholarship widely covered in career media in this window; coverage month inferred from the application opening. Not directly verified in a specific issue.</t>
        </is>
      </c>
    </row>
    <row r="9" ht="15" customHeight="1" s="17">
      <c r="A9" s="24" t="n">
        <v>8</v>
      </c>
      <c r="B9" s="24" t="inlineStr">
        <is>
          <t>Internship</t>
        </is>
      </c>
      <c r="C9" s="24" t="inlineStr">
        <is>
          <t>Prime Minister's Internship Scheme (PMIS), pilot project FY 2025-26 to 2026-27</t>
        </is>
      </c>
      <c r="D9" s="24" t="inlineStr">
        <is>
          <t>Ministry of Corporate Affairs, Government of India</t>
        </is>
      </c>
      <c r="E9" s="24" t="inlineStr">
        <is>
          <t>12-month internships in top companies for candidates who have passed Class 12, hold a polytechnic diploma or are in non-professional undergraduate programmes; graduates of IITs, IIMs, NLUs, IISERs, NIDs, IIITs and IISc and holders of CA, MBA, MBBS and similar professional degrees are ineligible</t>
        </is>
      </c>
      <c r="F9" s="24" t="inlineStr">
        <is>
          <t>Open to all categories</t>
        </is>
      </c>
      <c r="G9" s="24" t="inlineStr">
        <is>
          <t>All</t>
        </is>
      </c>
      <c r="H9" s="24" t="inlineStr">
        <is>
          <t>Family income cap of Rs 8 lakh per annum under the original guidelines, revised guidance of 12 Mar 2026 cites a Rs 12 lakh ineligibility bar</t>
        </is>
      </c>
      <c r="I9" s="24" t="inlineStr">
        <is>
          <t>21 to 24 years</t>
        </is>
      </c>
      <c r="J9" s="24" t="inlineStr">
        <is>
          <t>Rolling during the pilot, extended till December 2026</t>
        </is>
      </c>
      <c r="K9" s="24" t="inlineStr">
        <is>
          <t>Monthly assistance of Rs 5,000 and one-time incidental grant of Rs 6,000 as per scheme design</t>
        </is>
      </c>
      <c r="L9" s="24" t="inlineStr">
        <is>
          <t>Round II of the pilot ran into early 2025 with applications till 31 Mar 2025; further applications for the 2025-26 and 2026-27 pilot rounds have been accepted on a rolling basis on the portal; Round III ongoing under revised guidelines of 12 Mar 2026</t>
        </is>
      </c>
      <c r="M9" s="30" t="inlineStr">
        <is>
          <t>Rolling</t>
        </is>
      </c>
      <c r="N9" s="24" t="inlineStr">
        <is>
          <t>2025-10</t>
        </is>
      </c>
      <c r="O9" s="24" t="inlineStr">
        <is>
          <t>pminternship.mca.gov.in</t>
        </is>
      </c>
      <c r="P9" s="24" t="inlineStr">
        <is>
          <t>https://sansad.in/getFile/lsapps/loksabhaquestions/annex/188/AU2474_yKH9lZ.pdf</t>
        </is>
      </c>
      <c r="Q9" s="24" t="inlineStr">
        <is>
          <t>Heavily covered across career media in the window; coverage month inferred from the autumn 2025 application push. Not directly verified in a specific issue.</t>
        </is>
      </c>
    </row>
    <row r="10" ht="15" customHeight="1" s="17">
      <c r="A10" s="24" t="n">
        <v>9</v>
      </c>
      <c r="B10" s="24" t="inlineStr">
        <is>
          <t>Internship</t>
        </is>
      </c>
      <c r="C10" s="24" t="inlineStr">
        <is>
          <t>NITI Aayog Internship Scheme</t>
        </is>
      </c>
      <c r="D10" s="24" t="inlineStr">
        <is>
          <t>NITI Aayog, Government of India</t>
        </is>
      </c>
      <c r="E10" s="24" t="inlineStr">
        <is>
          <t>Internships with NITI Aayog verticals and divisions for undergraduate, postgraduate and research scholars of recognised universities in India or abroad</t>
        </is>
      </c>
      <c r="F10" s="24" t="inlineStr">
        <is>
          <t>Open to all categories</t>
        </is>
      </c>
      <c r="G10" s="24" t="inlineStr">
        <is>
          <t>All</t>
        </is>
      </c>
      <c r="H10" s="24" t="inlineStr">
        <is>
          <t>Not applicable</t>
        </is>
      </c>
      <c r="I10" s="24" t="inlineStr">
        <is>
          <t>No age bar stated; eligibility is marks-based, for example 85 percent in Class 12 for UG applicants</t>
        </is>
      </c>
      <c r="J10" s="24" t="inlineStr">
        <is>
          <t>Rolling, applications accepted every month</t>
        </is>
      </c>
      <c r="K10" s="24" t="inlineStr">
        <is>
          <t>Unpaid internship; NITI Aayog provides workspace and facilities</t>
        </is>
      </c>
      <c r="L10" s="24" t="inlineStr">
        <is>
          <t>Online application window open from the 1st to the 10th of every month</t>
        </is>
      </c>
      <c r="M10" s="30" t="inlineStr">
        <is>
          <t>Rolling</t>
        </is>
      </c>
      <c r="N10" s="24" t="inlineStr">
        <is>
          <t>2025-08</t>
        </is>
      </c>
      <c r="O10" s="24" t="inlineStr">
        <is>
          <t>niti.gov.in/internship</t>
        </is>
      </c>
      <c r="P10" s="24" t="inlineStr">
        <is>
          <t>https://www.niti.gov.in/internship</t>
        </is>
      </c>
      <c r="Q10" s="24" t="inlineStr">
        <is>
          <t>Standing rolling scheme that career magazines periodically list; the coverage month is representative and inferred, not verified in a specific issue. Details verified from the official NITI Aayog internship page.</t>
        </is>
      </c>
    </row>
    <row r="11" ht="15" customHeight="1" s="17">
      <c r="A11" s="24" t="n">
        <v>10</v>
      </c>
      <c r="B11" s="24" t="inlineStr">
        <is>
          <t>Admission / Entrance Exam</t>
        </is>
      </c>
      <c r="C11" s="24" t="inlineStr">
        <is>
          <t>Common Admission Test (CAT) 2025</t>
        </is>
      </c>
      <c r="D11" s="24" t="inlineStr">
        <is>
          <t>Indian Institutes of Management, conducted by IIM Kozhikode</t>
        </is>
      </c>
      <c r="E11" s="24" t="inlineStr">
        <is>
          <t>Admission to MBA and postgraduate management programmes at the 21 IIMs and other B-schools</t>
        </is>
      </c>
      <c r="F11" s="24" t="inlineStr">
        <is>
          <t>Open to all categories</t>
        </is>
      </c>
      <c r="G11" s="24" t="inlineStr">
        <is>
          <t>All</t>
        </is>
      </c>
      <c r="H11" s="24" t="inlineStr">
        <is>
          <t>Not applicable</t>
        </is>
      </c>
      <c r="I11" s="24" t="inlineStr">
        <is>
          <t>No age limit</t>
        </is>
      </c>
      <c r="J11" s="24" t="inlineStr">
        <is>
          <t>Annual</t>
        </is>
      </c>
      <c r="K11" s="24" t="inlineStr">
        <is>
          <t>Registration fee Rs 2,600 for general candidates and Rs 1,300 for SC, ST and PwD candidates</t>
        </is>
      </c>
      <c r="L11" s="24" t="inlineStr">
        <is>
          <t>Registration 1 Aug 2025 to 20 Sep 2025, extended from 13 Sep 2025; exam 30 Nov 2025 in three sessions</t>
        </is>
      </c>
      <c r="M11" s="29" t="inlineStr">
        <is>
          <t>Closed</t>
        </is>
      </c>
      <c r="N11" s="24" t="inlineStr">
        <is>
          <t>2025-08</t>
        </is>
      </c>
      <c r="O11" s="24" t="inlineStr">
        <is>
          <t>iimcat.ac.in</t>
        </is>
      </c>
      <c r="P11" s="24" t="inlineStr">
        <is>
          <t>https://www.iimk.ac.in/uploads/announcements/CAT%202025%20Notification_20250727093201.pdf</t>
        </is>
      </c>
      <c r="Q11" s="24" t="inlineStr">
        <is>
          <t>Core entrance exam squarely within the magazine's normal admission-notification coverage; coverage month inferred from the notification date of 27 Jul 2025. Not directly verified in a specific issue.</t>
        </is>
      </c>
    </row>
    <row r="12" ht="15" customHeight="1" s="17">
      <c r="A12" s="24" t="n">
        <v>11</v>
      </c>
      <c r="B12" s="24" t="inlineStr">
        <is>
          <t>Admission / Entrance Exam</t>
        </is>
      </c>
      <c r="C12" s="24" t="inlineStr">
        <is>
          <t>Graduate Aptitude Test in Engineering (GATE) 2026</t>
        </is>
      </c>
      <c r="D12" s="24" t="inlineStr">
        <is>
          <t>IIT Guwahati on behalf of IISc and the IITs, Ministry of Education</t>
        </is>
      </c>
      <c r="E12" s="24" t="inlineStr">
        <is>
          <t>Admission with possible financial assistance to master's, direct doctoral and doctoral programmes in engineering, technology, sciences, arts and humanities</t>
        </is>
      </c>
      <c r="F12" s="24" t="inlineStr">
        <is>
          <t>Open to all categories</t>
        </is>
      </c>
      <c r="G12" s="24" t="inlineStr">
        <is>
          <t>All</t>
        </is>
      </c>
      <c r="H12" s="24" t="inlineStr">
        <is>
          <t>Not applicable</t>
        </is>
      </c>
      <c r="I12" s="24" t="inlineStr">
        <is>
          <t>No age limit</t>
        </is>
      </c>
      <c r="J12" s="24" t="inlineStr">
        <is>
          <t>Annual</t>
        </is>
      </c>
      <c r="K12" s="24" t="inlineStr">
        <is>
          <t>Application fee varies by category and registration period per the GOAPS schedule</t>
        </is>
      </c>
      <c r="L12" s="24" t="inlineStr">
        <is>
          <t>Registration opened 28 Aug 2025; regular registration closed 25 Sep 2025, extended to 7 Oct 2025; with late fee till 13 Oct 2025; exams 7, 8, 14 and 15 Feb 2026; results 19 Mar 2026</t>
        </is>
      </c>
      <c r="M12" s="29" t="inlineStr">
        <is>
          <t>Closed</t>
        </is>
      </c>
      <c r="N12" s="24" t="inlineStr">
        <is>
          <t>2025-09</t>
        </is>
      </c>
      <c r="O12" s="24" t="inlineStr">
        <is>
          <t>gate2026.iitg.ac.in</t>
        </is>
      </c>
      <c r="P12" s="24" t="inlineStr">
        <is>
          <t>https://gate2026.iitg.ac.in/important-dates.html</t>
        </is>
      </c>
      <c r="Q12" s="24" t="inlineStr">
        <is>
          <t>Core PG entrance exam within the magazine's normal coverage; coverage month inferred from the registration opening. All dates verified from the official IIT Guwahati GATE 2026 site.</t>
        </is>
      </c>
    </row>
    <row r="13" ht="15" customHeight="1" s="17">
      <c r="A13" s="24" t="n">
        <v>12</v>
      </c>
      <c r="B13" s="24" t="inlineStr">
        <is>
          <t>Admission / Entrance Exam</t>
        </is>
      </c>
      <c r="C13" s="24" t="inlineStr">
        <is>
          <t>Common Law Admission Test (CLAT) 2026</t>
        </is>
      </c>
      <c r="D13" s="24" t="inlineStr">
        <is>
          <t>Consortium of National Law Universities</t>
        </is>
      </c>
      <c r="E13" s="24" t="inlineStr">
        <is>
          <t>Admission to five-year integrated LLB programmes and the one-year LLM programme at National Law Universities</t>
        </is>
      </c>
      <c r="F13" s="24" t="inlineStr">
        <is>
          <t>Open to all categories</t>
        </is>
      </c>
      <c r="G13" s="24" t="inlineStr">
        <is>
          <t>All</t>
        </is>
      </c>
      <c r="H13" s="24" t="inlineStr">
        <is>
          <t>Not applicable</t>
        </is>
      </c>
      <c r="I13" s="24" t="inlineStr">
        <is>
          <t>No age limit stated</t>
        </is>
      </c>
      <c r="J13" s="24" t="inlineStr">
        <is>
          <t>Annual</t>
        </is>
      </c>
      <c r="K13" s="24" t="inlineStr">
        <is>
          <t>Application fee as per consortium notification</t>
        </is>
      </c>
      <c r="L13" s="24" t="inlineStr">
        <is>
          <t>Online enrolment 1 Aug 2025 to 31 Oct 2025, extended to 7 Nov 2025; offline exam 7 Dec 2025, 2 pm to 4 pm</t>
        </is>
      </c>
      <c r="M13" s="29" t="inlineStr">
        <is>
          <t>Closed</t>
        </is>
      </c>
      <c r="N13" s="24" t="inlineStr">
        <is>
          <t>2025-08</t>
        </is>
      </c>
      <c r="O13" s="24" t="inlineStr">
        <is>
          <t>consortiumofnlus.ac.in</t>
        </is>
      </c>
      <c r="P13" s="24" t="inlineStr">
        <is>
          <t>https://consortiumofnlus.ac.in/clat-2026/ug-instructions.html</t>
        </is>
      </c>
      <c r="Q13" s="24" t="inlineStr">
        <is>
          <t>Within the magazine's normal admission-notification coverage; coverage month inferred from enrolment opening. Dates verified from the official consortium instructions and extension notification.</t>
        </is>
      </c>
    </row>
    <row r="14" ht="15" customHeight="1" s="17">
      <c r="A14" s="24" t="n">
        <v>13</v>
      </c>
      <c r="B14" s="24" t="inlineStr">
        <is>
          <t>Admission / Entrance Exam</t>
        </is>
      </c>
      <c r="C14" s="24" t="inlineStr">
        <is>
          <t>Joint Entrance Examination (JEE) Main 2026, Sessions 1 and 2</t>
        </is>
      </c>
      <c r="D14" s="24" t="inlineStr">
        <is>
          <t>National Testing Agency</t>
        </is>
      </c>
      <c r="E14" s="24" t="inlineStr">
        <is>
          <t>Admission to B.E., B.Tech, B.Arch and B.Planning programmes at NITs, IIITs and CFTIs and qualification for JEE Advanced</t>
        </is>
      </c>
      <c r="F14" s="24" t="inlineStr">
        <is>
          <t>Open to all categories</t>
        </is>
      </c>
      <c r="G14" s="24" t="inlineStr">
        <is>
          <t>All</t>
        </is>
      </c>
      <c r="H14" s="24" t="inlineStr">
        <is>
          <t>Not applicable</t>
        </is>
      </c>
      <c r="I14" s="24" t="inlineStr">
        <is>
          <t>No age limit; birth-year condition for JEE Advanced only</t>
        </is>
      </c>
      <c r="J14" s="24" t="inlineStr">
        <is>
          <t>Twice a year, January and April sessions</t>
        </is>
      </c>
      <c r="K14" s="24" t="inlineStr">
        <is>
          <t>Application fee per NTA schedule</t>
        </is>
      </c>
      <c r="L14" s="24" t="inlineStr">
        <is>
          <t>Session 1 applications 31 Oct to 27 Nov 2025 with exam 21 to 30 Jan 2026; Session 2 exam 2 to 9 Apr 2026 with a separate application window in early 2026</t>
        </is>
      </c>
      <c r="M14" s="29" t="inlineStr">
        <is>
          <t>Closed</t>
        </is>
      </c>
      <c r="N14" s="24" t="inlineStr">
        <is>
          <t>2025-11</t>
        </is>
      </c>
      <c r="O14" s="24" t="inlineStr">
        <is>
          <t>jeemain.nta.nic.in</t>
        </is>
      </c>
      <c r="P14" s="24" t="inlineStr">
        <is>
          <t>https://indianexpress.com/article/education/jee-main-2026-application-begins-january-session-1-jeemain-nta-nic-in-last-date-eligibility-exam-fees-changes-10292654/</t>
        </is>
      </c>
      <c r="Q14" s="24" t="inlineStr">
        <is>
          <t>India's largest engineering entrance exam, standard content for the magazine's career section; coverage month inferred from the Session 1 application opening. Dates verified from NTA notices and news reports.</t>
        </is>
      </c>
    </row>
    <row r="15" ht="15" customHeight="1" s="17">
      <c r="A15" s="24" t="n">
        <v>14</v>
      </c>
      <c r="B15" s="24" t="inlineStr">
        <is>
          <t>Admission / Entrance Exam</t>
        </is>
      </c>
      <c r="C15" s="24" t="inlineStr">
        <is>
          <t>All India Sainik Schools Entrance Examination (AISSEE) 2026</t>
        </is>
      </c>
      <c r="D15" s="24" t="inlineStr">
        <is>
          <t>National Testing Agency for the Sainik Schools Society, Ministry of Defence</t>
        </is>
      </c>
      <c r="E15" s="24" t="inlineStr">
        <is>
          <t>Admission to Class 6 and Class 9 in Sainik Schools and approved new Sainik Schools for academic year 2026-27</t>
        </is>
      </c>
      <c r="F15" s="24" t="inlineStr">
        <is>
          <t>Open to all categories</t>
        </is>
      </c>
      <c r="G15" s="24" t="inlineStr">
        <is>
          <t>All</t>
        </is>
      </c>
      <c r="H15" s="24" t="inlineStr">
        <is>
          <t>Not applicable</t>
        </is>
      </c>
      <c r="I15" s="24" t="inlineStr">
        <is>
          <t>Age limits for Class 6 and Class 9 admission as per the information bulletin</t>
        </is>
      </c>
      <c r="J15" s="24" t="inlineStr">
        <is>
          <t>Annual</t>
        </is>
      </c>
      <c r="K15" s="24" t="inlineStr">
        <is>
          <t>Application fee per NTA schedule</t>
        </is>
      </c>
      <c r="L15" s="24" t="inlineStr">
        <is>
          <t>Applications 10 Oct to 30 Oct 2025 with fee payment till 31 Oct 2025 and correction window 2 to 4 Nov 2025; exam held 18 Jan 2026</t>
        </is>
      </c>
      <c r="M15" s="29" t="inlineStr">
        <is>
          <t>Closed</t>
        </is>
      </c>
      <c r="N15" s="24" t="inlineStr">
        <is>
          <t>2025-10</t>
        </is>
      </c>
      <c r="O15" s="24" t="inlineStr">
        <is>
          <t>exams.nta.nic.in/sainik-school-society/</t>
        </is>
      </c>
      <c r="P15" s="24" t="inlineStr">
        <is>
          <t>https://cdnbbsr.s3waas.gov.in/s388a839f2f6f1427879fc33ee4acf4f66/uploads/2025/10/20251010937989896.pdf</t>
        </is>
      </c>
      <c r="Q15" s="24" t="inlineStr">
        <is>
          <t>School admission exam within the magazine's coverage; coverage month inferred from the application window. Dates verified from the official NTA information bulletin.</t>
        </is>
      </c>
    </row>
    <row r="16" ht="15" customHeight="1" s="17">
      <c r="A16" s="24" t="n">
        <v>15</v>
      </c>
      <c r="B16" s="24" t="inlineStr">
        <is>
          <t>Admission / Entrance Exam</t>
        </is>
      </c>
      <c r="C16" s="24" t="inlineStr">
        <is>
          <t>Common University Entrance Test Postgraduate (CUET PG) 2026</t>
        </is>
      </c>
      <c r="D16" s="24" t="inlineStr">
        <is>
          <t>National Testing Agency</t>
        </is>
      </c>
      <c r="E16" s="24" t="inlineStr">
        <is>
          <t>Admission to postgraduate programmes at participating central, state and other universities for academic year 2026-27</t>
        </is>
      </c>
      <c r="F16" s="24" t="inlineStr">
        <is>
          <t>Open to all categories</t>
        </is>
      </c>
      <c r="G16" s="24" t="inlineStr">
        <is>
          <t>All</t>
        </is>
      </c>
      <c r="H16" s="24" t="inlineStr">
        <is>
          <t>Not applicable</t>
        </is>
      </c>
      <c r="I16" s="24" t="inlineStr">
        <is>
          <t>No age limit stated</t>
        </is>
      </c>
      <c r="J16" s="24" t="inlineStr">
        <is>
          <t>Annual</t>
        </is>
      </c>
      <c r="K16" s="24" t="inlineStr">
        <is>
          <t>Application fee per NTA schedule</t>
        </is>
      </c>
      <c r="L16" s="24" t="inlineStr">
        <is>
          <t>Registration 14 Dec 2025 to 14 Jan 2026, extended to 23 Jan 2026 with fee payment to 25 Jan 2026 and correction window 28 to 30 Jan 2026; exams 6 to 27 Mar 2026</t>
        </is>
      </c>
      <c r="M16" s="29" t="inlineStr">
        <is>
          <t>Closed</t>
        </is>
      </c>
      <c r="N16" s="24" t="inlineStr">
        <is>
          <t>2025-12</t>
        </is>
      </c>
      <c r="O16" s="24" t="inlineStr">
        <is>
          <t>exams.nta.nic.in/cuet-pg/</t>
        </is>
      </c>
      <c r="P16" s="24" t="inlineStr">
        <is>
          <t>https://timesofindia.indiatimes.com/education/news/cuet-pg-2026-registration-deadline-extended-again-check-the-last-date-and-direct-link-to-apply-here/articleshow/126772245.cms</t>
        </is>
      </c>
      <c r="Q16" s="24" t="inlineStr">
        <is>
          <t>Within the magazine's normal admission coverage; coverage month inferred from the registration opening. Dates verified from the NTA FAQ document and Times of India report.</t>
        </is>
      </c>
    </row>
    <row r="17" ht="15" customHeight="1" s="17">
      <c r="A17" s="24" t="n">
        <v>16</v>
      </c>
      <c r="B17" s="24" t="inlineStr">
        <is>
          <t>Admission / Entrance Exam</t>
        </is>
      </c>
      <c r="C17" s="24" t="inlineStr">
        <is>
          <t>Common University Entrance Test Undergraduate (CUET UG) 2026</t>
        </is>
      </c>
      <c r="D17" s="24" t="inlineStr">
        <is>
          <t>National Testing Agency</t>
        </is>
      </c>
      <c r="E17" s="24" t="inlineStr">
        <is>
          <t>Admission to undergraduate programmes at participating central, state, deemed and private universities for academic year 2026-27</t>
        </is>
      </c>
      <c r="F17" s="24" t="inlineStr">
        <is>
          <t>Open to all categories</t>
        </is>
      </c>
      <c r="G17" s="24" t="inlineStr">
        <is>
          <t>All</t>
        </is>
      </c>
      <c r="H17" s="24" t="inlineStr">
        <is>
          <t>Not applicable</t>
        </is>
      </c>
      <c r="I17" s="24" t="inlineStr">
        <is>
          <t>No age limit stated</t>
        </is>
      </c>
      <c r="J17" s="24" t="inlineStr">
        <is>
          <t>Annual</t>
        </is>
      </c>
      <c r="K17" s="24" t="inlineStr">
        <is>
          <t>Application fee per NTA schedule</t>
        </is>
      </c>
      <c r="L17" s="24" t="inlineStr">
        <is>
          <t>Applications 3 to 30 Jan 2026, extended to 4 Feb 2026, with a reopened window 23 to 26 Feb 2026; computer-based exam 11 to 31 May 2026 (tentative)</t>
        </is>
      </c>
      <c r="M17" s="29" t="inlineStr">
        <is>
          <t>Closed</t>
        </is>
      </c>
      <c r="N17" s="24" t="inlineStr">
        <is>
          <t>2026-01</t>
        </is>
      </c>
      <c r="O17" s="24" t="inlineStr">
        <is>
          <t>cuet.nta.nic.in</t>
        </is>
      </c>
      <c r="P17" s="24" t="inlineStr">
        <is>
          <t>https://timesofindia.indiatimes.com/education/news/cuet-ug-2026-registration-window-reopens-apply-online-before-this-date-check-direct-link/articleshow/128705440.cms</t>
        </is>
      </c>
      <c r="Q17" s="24" t="inlineStr">
        <is>
          <t>Within the magazine's normal admission coverage; coverage month inferred from the application opening. Dates verified from the NTA information bulletin and news reports.</t>
        </is>
      </c>
    </row>
    <row r="18" ht="15" customHeight="1" s="17">
      <c r="A18" s="24" t="n">
        <v>17</v>
      </c>
      <c r="B18" s="24" t="inlineStr">
        <is>
          <t>Admission / Entrance Exam</t>
        </is>
      </c>
      <c r="C18" s="24" t="inlineStr">
        <is>
          <t>National Eligibility cum Entrance Test Undergraduate (NEET UG) 2026</t>
        </is>
      </c>
      <c r="D18" s="24" t="inlineStr">
        <is>
          <t>National Testing Agency</t>
        </is>
      </c>
      <c r="E18" s="24" t="inlineStr">
        <is>
          <t>Admission to MBBS, BDS, AYUSH and other medical and allied programmes in India</t>
        </is>
      </c>
      <c r="F18" s="24" t="inlineStr">
        <is>
          <t>Open to all categories</t>
        </is>
      </c>
      <c r="G18" s="24" t="inlineStr">
        <is>
          <t>All</t>
        </is>
      </c>
      <c r="H18" s="24" t="inlineStr">
        <is>
          <t>Not applicable</t>
        </is>
      </c>
      <c r="I18" s="24" t="inlineStr">
        <is>
          <t>Minimum 17 years as per NTA rules</t>
        </is>
      </c>
      <c r="J18" s="24" t="inlineStr">
        <is>
          <t>Annual, single shift exam</t>
        </is>
      </c>
      <c r="K18" s="24" t="inlineStr">
        <is>
          <t>Application fee per NTA schedule</t>
        </is>
      </c>
      <c r="L18" s="24" t="inlineStr">
        <is>
          <t>Application form released 8 Feb 2026; last date 11 Mar 2026 after extension; exam 3 May 2026, 2 pm to 5 pm; a re-examination was held on 21 Jun 2026</t>
        </is>
      </c>
      <c r="M18" s="29" t="inlineStr">
        <is>
          <t>Closed</t>
        </is>
      </c>
      <c r="N18" s="24" t="inlineStr">
        <is>
          <t>2026-02</t>
        </is>
      </c>
      <c r="O18" s="24" t="inlineStr">
        <is>
          <t>neet.nta.nic.in</t>
        </is>
      </c>
      <c r="P18" s="24" t="inlineStr">
        <is>
          <t>https://medicine.careers360.com/articles/neet-ug-2026-registration-deadline-fees-last-date-apply-neetntanicin</t>
        </is>
      </c>
      <c r="Q18" s="24" t="inlineStr">
        <is>
          <t>India's medical entrance exam, staple coverage for the magazine; coverage month inferred from the application opening. Dates verified from NTA and Careers360 reports.</t>
        </is>
      </c>
    </row>
    <row r="19" ht="15" customHeight="1" s="17">
      <c r="A19" s="24" t="n">
        <v>18</v>
      </c>
      <c r="B19" s="24" t="inlineStr">
        <is>
          <t>Admission / Entrance Exam</t>
        </is>
      </c>
      <c r="C19" s="24" t="inlineStr">
        <is>
          <t>UGC NET June 2026 examination</t>
        </is>
      </c>
      <c r="D19" s="24" t="inlineStr">
        <is>
          <t>National Testing Agency on behalf of University Grants Commission</t>
        </is>
      </c>
      <c r="E19" s="24" t="inlineStr">
        <is>
          <t>Eligibility for the Junior Research Fellowship, appointment as Assistant Professor and admission to PhD programmes in Indian universities and colleges</t>
        </is>
      </c>
      <c r="F19" s="24" t="inlineStr">
        <is>
          <t>Open to all categories</t>
        </is>
      </c>
      <c r="G19" s="24" t="inlineStr">
        <is>
          <t>All</t>
        </is>
      </c>
      <c r="H19" s="24" t="inlineStr">
        <is>
          <t>Not applicable</t>
        </is>
      </c>
      <c r="I19" s="24" t="inlineStr">
        <is>
          <t>No age bar for Assistant Professor eligibility; JRF has an upper age limit of 30 years as per UGC rules</t>
        </is>
      </c>
      <c r="J19" s="24" t="inlineStr">
        <is>
          <t>Twice a year, June and December cycles</t>
        </is>
      </c>
      <c r="K19" s="24" t="inlineStr">
        <is>
          <t>Application fee per NTA schedule</t>
        </is>
      </c>
      <c r="L19" s="24" t="inlineStr">
        <is>
          <t>Registration 29 Apr to 24 May 2026, extended from 20 May and 23 May 2026; correction window 26 to 28 May 2026; computer-based exam 22 to 30 Jun 2026</t>
        </is>
      </c>
      <c r="M19" s="29" t="inlineStr">
        <is>
          <t>Closed</t>
        </is>
      </c>
      <c r="N19" s="24" t="inlineStr">
        <is>
          <t>2026-05</t>
        </is>
      </c>
      <c r="O19" s="24" t="inlineStr">
        <is>
          <t>ugcnet.nta.nic.in</t>
        </is>
      </c>
      <c r="P19" s="24" t="inlineStr">
        <is>
          <t>https://cdnbbsr.s3waas.gov.in/s301eee509ee2f68dc6014898c309e86bf/uploads/2026/05/202605231648511527.pdf</t>
        </is>
      </c>
      <c r="Q19" s="24" t="inlineStr">
        <is>
          <t>Logged as a fellowship and PhD-admission eligibility test, not a job vacancy. Coverage month inferred from the registration opening. Dates verified from the official NTA public notice of 23 May 2026.</t>
        </is>
      </c>
    </row>
    <row r="20" ht="15" customHeight="1" s="17">
      <c r="A20" s="24" t="n">
        <v>19</v>
      </c>
      <c r="B20" s="24" t="inlineStr">
        <is>
          <t>Admission / Entrance Exam</t>
        </is>
      </c>
      <c r="C20" s="24" t="inlineStr">
        <is>
          <t>IGNOU fresh admission, July 2025 session</t>
        </is>
      </c>
      <c r="D20" s="24" t="inlineStr">
        <is>
          <t>Indira Gandhi National Open University</t>
        </is>
      </c>
      <c r="E20" s="24" t="inlineStr">
        <is>
          <t>Fresh admission to notified ODL and online mode programmes except certificate and semester-based programmes</t>
        </is>
      </c>
      <c r="F20" s="24" t="inlineStr">
        <is>
          <t>Open to all categories</t>
        </is>
      </c>
      <c r="G20" s="24" t="inlineStr">
        <is>
          <t>All</t>
        </is>
      </c>
      <c r="H20" s="24" t="inlineStr">
        <is>
          <t>Not applicable</t>
        </is>
      </c>
      <c r="I20" s="24" t="inlineStr">
        <is>
          <t>No age limit</t>
        </is>
      </c>
      <c r="J20" s="24" t="inlineStr">
        <is>
          <t>Annual, July and January sessions</t>
        </is>
      </c>
      <c r="K20" s="24" t="inlineStr">
        <is>
          <t>Programme fees as per IGNOU prospectus</t>
        </is>
      </c>
      <c r="L20" s="24" t="inlineStr">
        <is>
          <t>Admission opened on the Samarth portal 6 Jun 2025; last date extended from 31 Aug 2025 to 30 Sep 2025 and further to 15 Oct 2025</t>
        </is>
      </c>
      <c r="M20" s="29" t="inlineStr">
        <is>
          <t>Closed</t>
        </is>
      </c>
      <c r="N20" s="24" t="inlineStr">
        <is>
          <t>2025-06</t>
        </is>
      </c>
      <c r="O20" s="24" t="inlineStr">
        <is>
          <t>ignou.ac.in</t>
        </is>
      </c>
      <c r="P20" s="24" t="inlineStr">
        <is>
          <t>http://rcrajkot.ignou.ac.in/news/detail/1/202</t>
        </is>
      </c>
      <c r="Q20" s="24" t="inlineStr">
        <is>
          <t>IGNOU admission cycles are routine career-section content; coverage month inferred from the admission opening. Dates verified from official IGNOU regional centre announcements.</t>
        </is>
      </c>
    </row>
    <row r="21" ht="15" customHeight="1" s="17">
      <c r="A21" s="24" t="n">
        <v>20</v>
      </c>
      <c r="B21" s="24" t="inlineStr">
        <is>
          <t>Scholarship / Fellowship</t>
        </is>
      </c>
      <c r="C21" s="24" t="inlineStr">
        <is>
          <t>National Means-cum-Merit Scholarship Scheme (NMMSS) 2026-27</t>
        </is>
      </c>
      <c r="D21" s="24" t="inlineStr">
        <is>
          <t>Ministry of Education, Government of India (National Scholarship Portal)</t>
        </is>
      </c>
      <c r="E21" s="24" t="inlineStr">
        <is>
          <t>Class 9 to 12 (selection test for Class 9 entry)</t>
        </is>
      </c>
      <c r="F21" s="24" t="inlineStr">
        <is>
          <t>All (5 percentage-point marks relaxation for SC/ST)</t>
        </is>
      </c>
      <c r="G21" s="24" t="inlineStr">
        <is>
          <t>All</t>
        </is>
      </c>
      <c r="H21" s="24" t="inlineStr">
        <is>
          <t>Parental income up to Rs 3.50 lakh per annum</t>
        </is>
      </c>
      <c r="I21" s="24" t="inlineStr">
        <is>
          <t>not stated</t>
        </is>
      </c>
      <c r="J21" s="24" t="inlineStr">
        <is>
          <t>2026-27</t>
        </is>
      </c>
      <c r="K21" s="24" t="inlineStr">
        <is>
          <t>Rs 12,000 per annum via DBT</t>
        </is>
      </c>
      <c r="L21" s="24" t="inlineStr">
        <is>
          <t>Application last date extended to 31 Oct 2026</t>
        </is>
      </c>
      <c r="M21" s="31" t="inlineStr">
        <is>
          <t>Open now</t>
        </is>
      </c>
      <c r="N21" s="24" t="inlineStr">
        <is>
          <t>2026-10</t>
        </is>
      </c>
      <c r="O21" s="24" t="inlineStr">
        <is>
          <t>scholarships.gov.in</t>
        </is>
      </c>
      <c r="P21" s="24" t="inlineStr">
        <is>
          <t>https://www.pib.gov.in/PressReleseDetailm.aspx?PRID=2317657&amp;lang=1&amp;reg=3</t>
        </is>
      </c>
      <c r="Q21" s="24" t="inlineStr">
        <is>
          <t>Deadline extension announced by PIB on 1 Oct 2026 (within window); magazine appearance INFERRED from Success Mirror's normal central-scholarship coverage - edition content not directly verifiable online</t>
        </is>
      </c>
    </row>
    <row r="22" ht="15" customHeight="1" s="17">
      <c r="A22" s="24" t="n">
        <v>21</v>
      </c>
      <c r="B22" s="24" t="inlineStr">
        <is>
          <t>Scholarship / Fellowship</t>
        </is>
      </c>
      <c r="C22" s="24" t="inlineStr">
        <is>
          <t>PM-USP Central Sector Scheme of Scholarship for College and University Students (CSSS) 2026-27</t>
        </is>
      </c>
      <c r="D22" s="24" t="inlineStr">
        <is>
          <t>Ministry of Education, Government of India (National Scholarship Portal)</t>
        </is>
      </c>
      <c r="E22" s="24" t="inlineStr">
        <is>
          <t>College and university students (UG and PG)</t>
        </is>
      </c>
      <c r="F22" s="24" t="inlineStr">
        <is>
          <t>All</t>
        </is>
      </c>
      <c r="G22" s="24" t="inlineStr">
        <is>
          <t>All</t>
        </is>
      </c>
      <c r="H22" s="24" t="inlineStr">
        <is>
          <t>not stated (as per scheme norms)</t>
        </is>
      </c>
      <c r="I22" s="24" t="inlineStr">
        <is>
          <t>not stated</t>
        </is>
      </c>
      <c r="J22" s="24" t="inlineStr">
        <is>
          <t>2026-27</t>
        </is>
      </c>
      <c r="K22" s="24" t="inlineStr">
        <is>
          <t>Amount as per scheme, paid by DBT after verification</t>
        </is>
      </c>
      <c r="L22" s="24" t="inlineStr">
        <is>
          <t>Renewal applications open till 31 Oct 2026</t>
        </is>
      </c>
      <c r="M22" s="31" t="inlineStr">
        <is>
          <t>Open now</t>
        </is>
      </c>
      <c r="N22" s="24" t="inlineStr">
        <is>
          <t>2026-10</t>
        </is>
      </c>
      <c r="O22" s="24" t="inlineStr">
        <is>
          <t>scholarships.gov.in</t>
        </is>
      </c>
      <c r="P22" s="24" t="inlineStr">
        <is>
          <t>https://www.ndtv.com/education/central-sector-scholarship-renewal-2026-apply-by-october-31-12169233</t>
        </is>
      </c>
      <c r="Q22" s="24" t="inlineStr">
        <is>
          <t>Coverage INFERRED from Success Mirror's normal central-scholarship coverage; edition content not directly verified</t>
        </is>
      </c>
    </row>
    <row r="23" ht="15" customHeight="1" s="17">
      <c r="A23" s="24" t="n">
        <v>22</v>
      </c>
      <c r="B23" s="24" t="inlineStr">
        <is>
          <t>Scholarship / Fellowship</t>
        </is>
      </c>
      <c r="C23" s="24" t="inlineStr">
        <is>
          <t>AICTE Pragati Scholarship for Girls 2026-27</t>
        </is>
      </c>
      <c r="D23" s="24" t="inlineStr">
        <is>
          <t>All India Council for Technical Education (AICTE)</t>
        </is>
      </c>
      <c r="E23" s="24" t="inlineStr">
        <is>
          <t>Technical degree and diploma (AICTE-approved institutions)</t>
        </is>
      </c>
      <c r="F23" s="24" t="inlineStr">
        <is>
          <t>All</t>
        </is>
      </c>
      <c r="G23" s="24" t="inlineStr">
        <is>
          <t>Girls only</t>
        </is>
      </c>
      <c r="H23" s="24" t="inlineStr">
        <is>
          <t>Family income up to Rs 8 lakh per annum</t>
        </is>
      </c>
      <c r="I23" s="24" t="inlineStr">
        <is>
          <t>not stated</t>
        </is>
      </c>
      <c r="J23" s="24" t="inlineStr">
        <is>
          <t>2026-27</t>
        </is>
      </c>
      <c r="K23" s="24" t="inlineStr">
        <is>
          <t>Rs 50,000 per annum (5,000 degree plus 5,000 diploma scholarships)</t>
        </is>
      </c>
      <c r="L23" s="24" t="inlineStr">
        <is>
          <t>Applications till 31 Oct 2026</t>
        </is>
      </c>
      <c r="M23" s="31" t="inlineStr">
        <is>
          <t>Open now</t>
        </is>
      </c>
      <c r="N23" s="24" t="inlineStr">
        <is>
          <t>2026-10</t>
        </is>
      </c>
      <c r="O23" s="24" t="inlineStr">
        <is>
          <t>scholarships.gov.in</t>
        </is>
      </c>
      <c r="P23" s="24" t="inlineStr">
        <is>
          <t>https://www.educationtimes.com/scholarships/scholarships-closing-october-31-2026-check-eligibility-amount-and-how-to-apply/articleshow/134687551.cms</t>
        </is>
      </c>
      <c r="Q23" s="24" t="inlineStr">
        <is>
          <t>Coverage INFERRED from Success Mirror's normal scholarship coverage; edition content not directly verified</t>
        </is>
      </c>
    </row>
    <row r="24" ht="15" customHeight="1" s="17">
      <c r="A24" s="24" t="n">
        <v>23</v>
      </c>
      <c r="B24" s="24" t="inlineStr">
        <is>
          <t>Scholarship / Fellowship</t>
        </is>
      </c>
      <c r="C24" s="24" t="inlineStr">
        <is>
          <t>AICTE Saksham Scholarship Scheme 2026-27</t>
        </is>
      </c>
      <c r="D24" s="24" t="inlineStr">
        <is>
          <t>All India Council for Technical Education (AICTE)</t>
        </is>
      </c>
      <c r="E24" s="24" t="inlineStr">
        <is>
          <t>Technical degree and diploma (students with disability of 40 percent or more)</t>
        </is>
      </c>
      <c r="F24" s="24" t="inlineStr">
        <is>
          <t>All</t>
        </is>
      </c>
      <c r="G24" s="24" t="inlineStr">
        <is>
          <t>All</t>
        </is>
      </c>
      <c r="H24" s="24" t="inlineStr">
        <is>
          <t>Family income up to Rs 8 lakh per annum</t>
        </is>
      </c>
      <c r="I24" s="24" t="inlineStr">
        <is>
          <t>not stated</t>
        </is>
      </c>
      <c r="J24" s="24" t="inlineStr">
        <is>
          <t>2026-27</t>
        </is>
      </c>
      <c r="K24" s="24" t="inlineStr">
        <is>
          <t>Rs 50,000 per annum</t>
        </is>
      </c>
      <c r="L24" s="24" t="inlineStr">
        <is>
          <t>Applications till 31 Oct 2026</t>
        </is>
      </c>
      <c r="M24" s="31" t="inlineStr">
        <is>
          <t>Open now</t>
        </is>
      </c>
      <c r="N24" s="24" t="inlineStr">
        <is>
          <t>2026-10</t>
        </is>
      </c>
      <c r="O24" s="24" t="inlineStr">
        <is>
          <t>scholarships.gov.in</t>
        </is>
      </c>
      <c r="P24" s="24" t="inlineStr">
        <is>
          <t>https://www.educationtimes.com/scholarships/scholarships-closing-october-31-2026-check-eligibility-amount-and-how-to-apply/articleshow/134687551.cms</t>
        </is>
      </c>
      <c r="Q24" s="24" t="inlineStr">
        <is>
          <t>Coverage INFERRED; edition content not directly verified</t>
        </is>
      </c>
    </row>
    <row r="25" ht="15" customHeight="1" s="17">
      <c r="A25" s="24" t="n">
        <v>24</v>
      </c>
      <c r="B25" s="24" t="inlineStr">
        <is>
          <t>Internship</t>
        </is>
      </c>
      <c r="C25" s="24" t="inlineStr">
        <is>
          <t>NHAI Winter Internship 2026</t>
        </is>
      </c>
      <c r="D25" s="24" t="inlineStr">
        <is>
          <t>National Highways Authority of India (NHAI)</t>
        </is>
      </c>
      <c r="E25" s="24" t="inlineStr">
        <is>
          <t>Full-time UG and PG students in pre-final or final year</t>
        </is>
      </c>
      <c r="F25" s="24" t="inlineStr">
        <is>
          <t>All</t>
        </is>
      </c>
      <c r="G25" s="24" t="inlineStr">
        <is>
          <t>All</t>
        </is>
      </c>
      <c r="H25" s="24" t="inlineStr">
        <is>
          <t>not stated</t>
        </is>
      </c>
      <c r="I25" s="24" t="inlineStr">
        <is>
          <t>not stated</t>
        </is>
      </c>
      <c r="J25" s="24" t="inlineStr">
        <is>
          <t>2026 (Winter)</t>
        </is>
      </c>
      <c r="K25" s="24" t="inlineStr">
        <is>
          <t>Stipend Rs 20,000 per month</t>
        </is>
      </c>
      <c r="L25" s="24" t="inlineStr">
        <is>
          <t>Last date 20 Oct 2026</t>
        </is>
      </c>
      <c r="M25" s="29" t="inlineStr">
        <is>
          <t>Closed</t>
        </is>
      </c>
      <c r="N25" s="24" t="inlineStr">
        <is>
          <t>2026-10</t>
        </is>
      </c>
      <c r="O25" s="24" t="inlineStr">
        <is>
          <t>nhai.gov.in</t>
        </is>
      </c>
      <c r="P25" s="24" t="inlineStr">
        <is>
          <t>https://www.inextlive.com/top-scholarships-and-internships-to-apply-for-in-october-2026-1791380527</t>
        </is>
      </c>
      <c r="Q25" s="24" t="inlineStr">
        <is>
          <t>Deadline fell on 20 Oct 2026 (closed as of 21 Oct); coverage INFERRED from Success Mirror's normal career and opportunity coverage</t>
        </is>
      </c>
    </row>
    <row r="26" ht="15" customHeight="1" s="17">
      <c r="A26" s="24" t="n">
        <v>25</v>
      </c>
      <c r="B26" s="24" t="inlineStr">
        <is>
          <t>Internship</t>
        </is>
      </c>
      <c r="C26" s="24" t="inlineStr">
        <is>
          <t>NHRC Winter Internship 2026</t>
        </is>
      </c>
      <c r="D26" s="24" t="inlineStr">
        <is>
          <t>National Human Rights Commission (NHRC)</t>
        </is>
      </c>
      <c r="E26" s="24" t="inlineStr">
        <is>
          <t>Law and human-rights students (LLB, LLM and related)</t>
        </is>
      </c>
      <c r="F26" s="24" t="inlineStr">
        <is>
          <t>All</t>
        </is>
      </c>
      <c r="G26" s="24" t="inlineStr">
        <is>
          <t>All</t>
        </is>
      </c>
      <c r="H26" s="24" t="inlineStr">
        <is>
          <t>not stated</t>
        </is>
      </c>
      <c r="I26" s="24" t="inlineStr">
        <is>
          <t>not stated</t>
        </is>
      </c>
      <c r="J26" s="24" t="inlineStr">
        <is>
          <t>2026 (Winter)</t>
        </is>
      </c>
      <c r="K26" s="24" t="inlineStr">
        <is>
          <t>Stipend Rs 12,000 plus 3rd AC train fare</t>
        </is>
      </c>
      <c r="L26" s="24" t="inlineStr">
        <is>
          <t>Last date 15 Oct 2026</t>
        </is>
      </c>
      <c r="M26" s="29" t="inlineStr">
        <is>
          <t>Closed</t>
        </is>
      </c>
      <c r="N26" s="24" t="inlineStr">
        <is>
          <t>2026-10</t>
        </is>
      </c>
      <c r="O26" s="24" t="inlineStr">
        <is>
          <t>nhrc.nic.in</t>
        </is>
      </c>
      <c r="P26" s="24" t="inlineStr">
        <is>
          <t>https://www.inextlive.com/top-scholarships-and-internships-to-apply-for-in-october-2026-1791380527</t>
        </is>
      </c>
      <c r="Q26" s="24" t="inlineStr">
        <is>
          <t>Deadline fell on 15 Oct 2026 (closed as of 21 Oct); coverage INFERRED</t>
        </is>
      </c>
    </row>
    <row r="27" ht="15" customHeight="1" s="17">
      <c r="A27" s="24" t="n">
        <v>26</v>
      </c>
      <c r="B27" s="24" t="inlineStr">
        <is>
          <t>Admission / Entrance Exam</t>
        </is>
      </c>
      <c r="C27" s="24" t="inlineStr">
        <is>
          <t>Atul Maheshwari Scholarship Examination 2026</t>
        </is>
      </c>
      <c r="D27" s="24" t="inlineStr">
        <is>
          <t>Amar Ujala Foundation</t>
        </is>
      </c>
      <c r="E27" s="24" t="inlineStr">
        <is>
          <t>School students (Classes 9 to 12)</t>
        </is>
      </c>
      <c r="F27" s="24" t="inlineStr">
        <is>
          <t>All</t>
        </is>
      </c>
      <c r="G27" s="24" t="inlineStr">
        <is>
          <t>All</t>
        </is>
      </c>
      <c r="H27" s="24" t="inlineStr">
        <is>
          <t>not stated</t>
        </is>
      </c>
      <c r="I27" s="24" t="inlineStr">
        <is>
          <t>not stated</t>
        </is>
      </c>
      <c r="J27" s="24" t="inlineStr">
        <is>
          <t>2026</t>
        </is>
      </c>
      <c r="K27" s="24" t="inlineStr">
        <is>
          <t>Scholarship and cash awards for selected students</t>
        </is>
      </c>
      <c r="L27" s="24" t="inlineStr">
        <is>
          <t>Admit cards released 1-2 Oct 2026; first-phase exam 18 Oct 2026 and second-phase exam 25 Oct 2026</t>
        </is>
      </c>
      <c r="M27" s="31" t="inlineStr">
        <is>
          <t>Open now</t>
        </is>
      </c>
      <c r="N27" s="24" t="inlineStr">
        <is>
          <t>2026-10</t>
        </is>
      </c>
      <c r="O27" s="24" t="inlineStr">
        <is>
          <t>amarujala.com</t>
        </is>
      </c>
      <c r="P27" s="24" t="inlineStr">
        <is>
          <t>https://www.amarujala.com/education/atul-maheshwari-scholarship-exam-2026-admit-card-released-here-s-how-to-download-check-exam-dates-2026-10-01</t>
        </is>
      </c>
      <c r="Q27" s="24" t="inlineStr">
        <is>
          <t>Scholarship-cum-entrance test; admit cards released 1 Oct 2026 (within window); coverage INFERRED from Success Mirror's normal exam and scholarship coverage</t>
        </is>
      </c>
    </row>
    <row r="28">
      <c r="A28" t="n">
        <v>27</v>
      </c>
      <c r="B28" t="inlineStr">
        <is>
          <t>Internship</t>
        </is>
      </c>
      <c r="C28" t="inlineStr">
        <is>
          <t>IBBI Internship (December 2026 intake)</t>
        </is>
      </c>
      <c r="D28" t="inlineStr">
        <is>
          <t>Insolvency and Bankruptcy Board of India (IBBI)</t>
        </is>
      </c>
      <c r="E28" t="inlineStr">
        <is>
          <t>Students pursuing 3-year/5-year LL.B., or PG in Economics/Commerce/Finance/Management/Law; M.Phil./PhD in these subjects</t>
        </is>
      </c>
      <c r="F28" t="inlineStr">
        <is>
          <t>All categories</t>
        </is>
      </c>
      <c r="G28" t="inlineStr">
        <is>
          <t>Boys and girls</t>
        </is>
      </c>
      <c r="H28" t="inlineStr">
        <is>
          <t>Not applicable</t>
        </is>
      </c>
      <c r="I28" t="inlineStr">
        <is>
          <t>Not stated</t>
        </is>
      </c>
      <c r="J28" t="inlineStr">
        <is>
          <t>Rolling (monthly intakes)</t>
        </is>
      </c>
      <c r="K28" t="inlineStr">
        <is>
          <t>Stipend Rs.10,000 per month (one-month internship, extendable by up to one month)</t>
        </is>
      </c>
      <c r="L28" t="inlineStr">
        <is>
          <t>Apply by 01/11/2026 (applications to reach at least 30 days before the intended month)</t>
        </is>
      </c>
      <c r="M28" t="inlineStr">
        <is>
          <t>Open</t>
        </is>
      </c>
      <c r="N28" t="inlineStr">
        <is>
          <t>2026-10</t>
        </is>
      </c>
      <c r="O28" t="inlineStr">
        <is>
          <t>ibbi.gov.in</t>
        </is>
      </c>
      <c r="P28" t="inlineStr">
        <is>
          <t>https://campusreality.in/notification/ibbi-internship-december-2026/ ; https://ibbi.gov.in/IBBI_Internship_Guidelines.pdf</t>
        </is>
      </c>
      <c r="Q28" t="inlineStr">
        <is>
          <t>INFERRED from Success Mirror's normal coverage of internships (the log already carries the NITI Aayog, NHAI and NHRC internships).</t>
        </is>
      </c>
    </row>
    <row r="29">
      <c r="A29" t="n">
        <v>28</v>
      </c>
      <c r="B29" t="inlineStr">
        <is>
          <t>Internship</t>
        </is>
      </c>
      <c r="C29" t="inlineStr">
        <is>
          <t>DPIIT Internship Scheme (November 2026-January 2027 window)</t>
        </is>
      </c>
      <c r="D29" t="inlineStr">
        <is>
          <t>Department for Promotion of Industry and Internal Trade (DPIIT), Ministry of Commerce &amp; Industry</t>
        </is>
      </c>
      <c r="E29" t="inlineStr">
        <is>
          <t>Students pursuing Graduation/PG/Research in Engineering, Management, Law, Economics, Finance, Computers or Library Management</t>
        </is>
      </c>
      <c r="F29" t="inlineStr">
        <is>
          <t>All categories</t>
        </is>
      </c>
      <c r="G29" t="inlineStr">
        <is>
          <t>Boys and girls</t>
        </is>
      </c>
      <c r="H29" t="inlineStr">
        <is>
          <t>Not applicable</t>
        </is>
      </c>
      <c r="I29" t="inlineStr">
        <is>
          <t>At least 18 years</t>
        </is>
      </c>
      <c r="J29" t="inlineStr">
        <is>
          <t>Rolling (quarterly windows)</t>
        </is>
      </c>
      <c r="K29" t="inlineStr">
        <is>
          <t>Stipend Rs.10,000 per month (paid after completion); not more than 20 interns at a time</t>
        </is>
      </c>
      <c r="L29" t="inlineStr">
        <is>
          <t>Apply by 31/10/2026 (window 01/09/2026 to 31/10/2026)</t>
        </is>
      </c>
      <c r="M29" t="inlineStr">
        <is>
          <t>Open</t>
        </is>
      </c>
      <c r="N29" t="inlineStr">
        <is>
          <t>2026-10</t>
        </is>
      </c>
      <c r="O29" t="inlineStr">
        <is>
          <t>apps.dpiit.gov.in/internship</t>
        </is>
      </c>
      <c r="P29" t="inlineStr">
        <is>
          <t>https://campusreality.in/notification/dpiit-internship-commerce-industry/ ; https://lawbhoomi.com/dpiit-internship-scheme-2026-by-ministry-of-commerce-industry/</t>
        </is>
      </c>
      <c r="Q29" t="inlineStr">
        <is>
          <t>INFERRED from Success Mirror's normal coverage of internships.</t>
        </is>
      </c>
    </row>
    <row r="30">
      <c r="A30" t="n">
        <v>29</v>
      </c>
      <c r="B30" t="inlineStr">
        <is>
          <t>Admission / Entrance Exam</t>
        </is>
      </c>
      <c r="C30" t="inlineStr">
        <is>
          <t>Joint Entrance Examination (Main) 2027 - Session 1</t>
        </is>
      </c>
      <c r="D30" t="inlineStr">
        <is>
          <t>National Testing Agency (NTA)</t>
        </is>
      </c>
      <c r="E30" t="inlineStr">
        <is>
          <t>Class 12 / equivalent with PCM (Paper 1); also B.Arch/B.Planning</t>
        </is>
      </c>
      <c r="F30" t="inlineStr">
        <is>
          <t>All categories (category-wise fee)</t>
        </is>
      </c>
      <c r="G30" t="inlineStr">
        <is>
          <t>Boys and girls</t>
        </is>
      </c>
      <c r="H30" t="inlineStr">
        <is>
          <t>Not applicable</t>
        </is>
      </c>
      <c r="I30" t="inlineStr">
        <is>
          <t>Not stated</t>
        </is>
      </c>
      <c r="J30" t="inlineStr">
        <is>
          <t>Annual (2027 session)</t>
        </is>
      </c>
      <c r="K30" t="inlineStr">
        <is>
          <t>Application fee from Rs.500 (SC/ST/PwD) to Rs.1,000 (General male), plus GST</t>
        </is>
      </c>
      <c r="L30" t="inlineStr">
        <is>
          <t>Application 24/10/2026 to 22/11/2026 (late fee to 26/11/2026); exam 20-28/01/2027</t>
        </is>
      </c>
      <c r="M30" t="inlineStr">
        <is>
          <t>Open</t>
        </is>
      </c>
      <c r="N30" t="inlineStr">
        <is>
          <t>2026-11</t>
        </is>
      </c>
      <c r="O30" t="inlineStr">
        <is>
          <t>jeemain.nta.nic.in</t>
        </is>
      </c>
      <c r="P30" t="inlineStr">
        <is>
          <t>https://jeemain.nta.nic.in ; https://www.etvbharat.com/en/state/nta-releases-notification-for-jee-main-2027-registrations-till-november-22-enn26102406816</t>
        </is>
      </c>
      <c r="Q30" t="inlineStr">
        <is>
          <t>INFERRED from normal coverage. New 2027 cycle (the log already has JEE Main 2026 under both Samanya Gyan Darpan and Success Mirror). NTA notification dated 24 October 2026.</t>
        </is>
      </c>
    </row>
    <row r="31">
      <c r="A31" t="n">
        <v>30</v>
      </c>
      <c r="B31" t="inlineStr">
        <is>
          <t>Admission / Entrance Exam</t>
        </is>
      </c>
      <c r="C31" t="inlineStr">
        <is>
          <t>VIT Engineering Entrance Examination (VITEEE) 2027</t>
        </is>
      </c>
      <c r="D31" t="inlineStr">
        <is>
          <t>Vellore Institute of Technology (VIT)</t>
        </is>
      </c>
      <c r="E31" t="inlineStr">
        <is>
          <t>Class 12 with PCM/PCB (minimum 60%)</t>
        </is>
      </c>
      <c r="F31" t="inlineStr">
        <is>
          <t>All categories</t>
        </is>
      </c>
      <c r="G31" t="inlineStr">
        <is>
          <t>Boys and girls</t>
        </is>
      </c>
      <c r="H31" t="inlineStr">
        <is>
          <t>Not applicable</t>
        </is>
      </c>
      <c r="I31" t="inlineStr">
        <is>
          <t>Not stated</t>
        </is>
      </c>
      <c r="J31" t="inlineStr">
        <is>
          <t>Annual (2027-28 admissions)</t>
        </is>
      </c>
      <c r="K31" t="inlineStr">
        <is>
          <t>Application fee as per VIT; computer-based entrance test</t>
        </is>
      </c>
      <c r="L31" t="inlineStr">
        <is>
          <t>Registration opened 20/10/2026; closes 31/03/2027; exam tentatively 27/04/2027 to 02/05/2027</t>
        </is>
      </c>
      <c r="M31" t="inlineStr">
        <is>
          <t>Open</t>
        </is>
      </c>
      <c r="N31" t="inlineStr">
        <is>
          <t>2026-11</t>
        </is>
      </c>
      <c r="O31" t="inlineStr">
        <is>
          <t>viteee.vit.ac.in</t>
        </is>
      </c>
      <c r="P31" t="inlineStr">
        <is>
          <t>https://www.thedailyjagran.com/education/news/viteee-2027-vellore-institute-of-technology-opens-registration-for-2027-admission-test-check-marking-scheme-and-steps-to-apply-10333443 ; https://viteee.vit.ac.in/</t>
        </is>
      </c>
      <c r="Q31" t="inlineStr">
        <is>
          <t>INFERRED from normal coverage of engineering entrance exams. New cycle.</t>
        </is>
      </c>
    </row>
    <row r="32">
      <c r="A32" t="n">
        <v>31</v>
      </c>
      <c r="B32" t="inlineStr">
        <is>
          <t>Admission / Entrance Exam</t>
        </is>
      </c>
      <c r="C32" t="inlineStr">
        <is>
          <t>NIFT Entrance Examination (NIFTEE) 2027</t>
        </is>
      </c>
      <c r="D32" t="inlineStr">
        <is>
          <t>National Institute of Fashion Technology (NIFT), conducted via NTA</t>
        </is>
      </c>
      <c r="E32" t="inlineStr">
        <is>
          <t>Class 12 / graduates - UG (B.Des, B.FTech), PG (M.Des, M.FM, M.FTech), NLEA, Artisans and PhD programmes</t>
        </is>
      </c>
      <c r="F32" t="inlineStr">
        <is>
          <t>All categories</t>
        </is>
      </c>
      <c r="G32" t="inlineStr">
        <is>
          <t>Boys and girls</t>
        </is>
      </c>
      <c r="H32" t="inlineStr">
        <is>
          <t>Not applicable</t>
        </is>
      </c>
      <c r="I32" t="inlineStr">
        <is>
          <t>Not stated</t>
        </is>
      </c>
      <c r="J32" t="inlineStr">
        <is>
          <t>Annual (2027-28 admissions)</t>
        </is>
      </c>
      <c r="K32" t="inlineStr">
        <is>
          <t>Application fee as per NIFT/NTA; CBT (GAT) and PBT (CAT) components</t>
        </is>
      </c>
      <c r="L32" t="inlineStr">
        <is>
          <t>Registration 16/10/2026 to 16/11/2026 (late fee to 21/11/2026); exam 10/01/2027</t>
        </is>
      </c>
      <c r="M32" t="inlineStr">
        <is>
          <t>Open</t>
        </is>
      </c>
      <c r="N32" t="inlineStr">
        <is>
          <t>2026-10</t>
        </is>
      </c>
      <c r="O32" t="inlineStr">
        <is>
          <t>nift.ac.in</t>
        </is>
      </c>
      <c r="P32" t="inlineStr">
        <is>
          <t>https://nift.ac.in/sites/default/files/2026-10/Public%20Notice-NIFTEE%202027_16.10.2026%20Latest.pdf ; https://exams.nta.nic.in/niftee/</t>
        </is>
      </c>
      <c r="Q32" t="inlineStr">
        <is>
          <t>INFERRED from normal coverage of national entrance exams. New cycle; NTA public notice dated 16 October 2026.</t>
        </is>
      </c>
    </row>
  </sheetData>
  <autoFilter ref="A1:Q27"/>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2026-09-28T06:29:38Z</dcterms:created>
  <dcterms:modified xmlns:dcterms="http://purl.org/dc/terms/" xmlns:xsi="http://www.w3.org/2001/XMLSchema-instance" xsi:type="dcterms:W3CDTF">2026-10-24T21:46:23Z</dcterms:modified>
  <cp:revision>0</cp:revision>
</cp:coreProperties>
</file>