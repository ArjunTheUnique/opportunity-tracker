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<sst xmlns="http://schemas.openxmlformats.org/spreadsheetml/2006/main" count="356" uniqueCount="255">
  <si>
    <t xml:space="preserve">Civil Services Chronicle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</si>
  <si>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</si>
  <si>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</si>
  <si>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</si>
  <si>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</si>
  <si>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</si>
  <si>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</si>
  <si>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</si>
  <si>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</si>
  <si>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</si>
  <si>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</si>
  <si>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</si>
  <si>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</si>
  <si>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</si>
  <si>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</si>
  <si>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</si>
  <si>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</si>
  <si>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</si>
  <si>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</si>
  <si>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</si>
  <si>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</si>
  <si>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</si>
  <si>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</si>
  <si>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</si>
  <si>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</si>
  <si>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</si>
  <si>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</si>
  <si>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</si>
  <si>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</si>
  <si>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</si>
  <si>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</si>
  <si>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</si>
  <si>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</si>
  <si>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</si>
  <si>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</si>
  <si>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</si>
  <si>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Sahakar Mitra Internship Scheme (NCDC)</t>
  </si>
  <si>
    <t xml:space="preserve">National Cooperative Development Corporation (NCDC), Ministry of Cooperation</t>
  </si>
  <si>
    <t xml:space="preserve">Professional graduates (Agri, Dairy, Animal Husbandry, Veterinary, Fisheries, Horticulture, Textiles, IT) and MBA/M.Com holders; immersion in cooperatives and FPOs</t>
  </si>
  <si>
    <t xml:space="preserve">Open to all</t>
  </si>
  <si>
    <t xml:space="preserve">All</t>
  </si>
  <si>
    <t xml:space="preserve">Not stated</t>
  </si>
  <si>
    <t xml:space="preserve">Recurring internship rounds (rolling)</t>
  </si>
  <si>
    <t xml:space="preserve">Paid internship (stipend; amount not stated in CSC article)</t>
  </si>
  <si>
    <t xml:space="preserve">Rolling applications via NCDC</t>
  </si>
  <si>
    <t xml:space="preserve">Rolling</t>
  </si>
  <si>
    <t xml:space="preserve">2025-04</t>
  </si>
  <si>
    <t xml:space="preserve">ncdc.in</t>
  </si>
  <si>
    <t xml:space="preserve">https://www.chronicleindia.in/online-magazine/csce-april-2025/sahakar-mitra-internship-scheme-of-ncdc</t>
  </si>
  <si>
    <t xml:space="preserve">Covered in CSC April 2025 online issue; scheme encourages start-up cooperatives and FPO leadership roles</t>
  </si>
  <si>
    <t xml:space="preserve">Prime Minister Internship Scheme (PMIS) - mobile app launch and Round-2 applications</t>
  </si>
  <si>
    <t xml:space="preserve">Ministry of Corporate Affairs, Government of India</t>
  </si>
  <si>
    <t xml:space="preserve">Youth aged 21-24 not in full-time education or employment; paid internships in top 500 companies across 24 sectors</t>
  </si>
  <si>
    <t xml:space="preserve">21-24 years</t>
  </si>
  <si>
    <t xml:space="preserve">Annual pilot rounds</t>
  </si>
  <si>
    <t xml:space="preserve">Rs 5,000 per month for 12 months plus one-time grant of Rs 6,000 (as stated in CSC coverage)</t>
  </si>
  <si>
    <t xml:space="preserve">Round-2 applications open until 31 March 2025 (app launched 17 March 2025)</t>
  </si>
  <si>
    <t xml:space="preserve">Closed</t>
  </si>
  <si>
    <t xml:space="preserve">2025-05;2025-12</t>
  </si>
  <si>
    <t xml:space="preserve">pminternship.mca.gov.in</t>
  </si>
  <si>
    <t xml:space="preserve">https://www.chronicleindia.in/online-magazine/csce-may-2025/mobile-app-for-pm-internship-scheme</t>
  </si>
  <si>
    <t xml:space="preserve">CSC May 2025 issue covered the PMIS mobile app launch; December 2025 issue carried a full PMIS overview (15 Oct 2025 Finance Minister interaction with interns at Hampi) restating the 1-crore internships target</t>
  </si>
  <si>
    <t xml:space="preserve">CBSE Draft Scheme for Two Examinations (Class X from 2026)</t>
  </si>
  <si>
    <t xml:space="preserve">Central Board of Secondary Education (CBSE)</t>
  </si>
  <si>
    <t xml:space="preserve">Class 10 CBSE students; optional second board exam attempt with best score counted; full current syllabus for both attempts</t>
  </si>
  <si>
    <t xml:space="preserve">None</t>
  </si>
  <si>
    <t xml:space="preserve">School students (Class X)</t>
  </si>
  <si>
    <t xml:space="preserve">Annual; board exams to begin first Tuesday after 15 February each year</t>
  </si>
  <si>
    <t xml:space="preserve">Not applicable (exam reform; no fee or stipend)</t>
  </si>
  <si>
    <t xml:space="preserve">Draft scheme proposed 10 March 2025; first two-exam cycle from 2026</t>
  </si>
  <si>
    <t xml:space="preserve">2025-05</t>
  </si>
  <si>
    <t xml:space="preserve">cbse.gov.in</t>
  </si>
  <si>
    <t xml:space="preserve">https://www.chronicleindia.in/online-magazine/archive-csce-may-2025/cbse-draft-scheme-for-two-examinations</t>
  </si>
  <si>
    <t xml:space="preserve">Exam-reform notification covered in CSC May 2025 issue; aligns with NEP 2020; status reflects recurring exam cycles now in effect</t>
  </si>
  <si>
    <t xml:space="preserve">PM-USP Central Sector Scheme of Scholarship for College and University Students (CSSS) 2025-26</t>
  </si>
  <si>
    <t xml:space="preserve">CBSE with Department of Higher Education, Ministry of Education</t>
  </si>
  <si>
    <t xml:space="preserve">Meritorious Class 12 pass students (above 80th percentile of board) admitted to regular UG/PG college and university courses</t>
  </si>
  <si>
    <t xml:space="preserve">Family income up to Rs 4.5 lakh per annum</t>
  </si>
  <si>
    <t xml:space="preserve">Not applicable (school to college transition)</t>
  </si>
  <si>
    <t xml:space="preserve">Annual; fresh plus renewal applications on National Scholarship Portal</t>
  </si>
  <si>
    <t xml:space="preserve">Rs 12,000 per annum at graduation level (first three years) and Rs 20,000 per annum at postgraduation level</t>
  </si>
  <si>
    <t xml:space="preserve">CBSE announced 27 June 2025 for AY 2025-26; NSP application deadline 31 October 2025</t>
  </si>
  <si>
    <t xml:space="preserve">2025-08</t>
  </si>
  <si>
    <t xml:space="preserve">scholarships.gov.in</t>
  </si>
  <si>
    <t xml:space="preserve">https://www.chronicleindia.in/online-magazine/csce-august-2025/central-sector-scheme-of-scholarship-for-college-and-university-students</t>
  </si>
  <si>
    <t xml:space="preserve">Covered in CSC August 2025 issue; amounts and income cap per CSSS guidelines and CBSE public notice</t>
  </si>
  <si>
    <t xml:space="preserve">Bharat Ratna Shri Atal Bihari Vajpayee-Chevening Uttar Pradesh State Government Scholarship Scheme</t>
  </si>
  <si>
    <t xml:space="preserve">Government of Uttar Pradesh with UK Foreign, Commonwealth and Development Office (Chevening)</t>
  </si>
  <si>
    <t xml:space="preserve">Full scholarship for a one-year postgraduate (Master's) degree at any reputed UK university; 5 scholars per year; merit-based joint selection</t>
  </si>
  <si>
    <t xml:space="preserve">Open to UP domicile students</t>
  </si>
  <si>
    <t xml:space="preserve">Annual from academic year 2025-26</t>
  </si>
  <si>
    <t xml:space="preserve">Full scholarship (tuition and associated costs) for one-year UK Master's</t>
  </si>
  <si>
    <t xml:space="preserve">Launched for AY 2025-26; follows the annual Chevening cycle (2025-26 cycle applications ran 5 August to 7 October per press reports)</t>
  </si>
  <si>
    <t xml:space="preserve">Open now</t>
  </si>
  <si>
    <t xml:space="preserve">2025-10</t>
  </si>
  <si>
    <t xml:space="preserve">chevening.org</t>
  </si>
  <si>
    <t xml:space="preserve">https://www.chronicleindia.in/online-magazine/csce-october-2025/bharat-ratna-shri-atal-bihari-vajpayee-ndash-chevening-uttar-pradesh-state-government-scholarship</t>
  </si>
  <si>
    <t xml:space="preserve">Covered in CSC October 2025 issue (also indexed under State Watch); next Chevening cycle opens around August 2026</t>
  </si>
  <si>
    <t xml:space="preserve">Adi Yuva Fellowship (under Adi Karmayogi Abhiyan)</t>
  </si>
  <si>
    <t xml:space="preserve">Ministry of Tribal Affairs in partnership with the United Nations in India</t>
  </si>
  <si>
    <t xml:space="preserve">Tribal youth; 12-month paid fellowship with structured learning, mentorship and career development</t>
  </si>
  <si>
    <t xml:space="preserve">Scheduled Tribes (tribal youth)</t>
  </si>
  <si>
    <t xml:space="preserve">Not stated (youth focus)</t>
  </si>
  <si>
    <t xml:space="preserve">Cohort-based; launched 22 September 2025</t>
  </si>
  <si>
    <t xml:space="preserve">12-month paid fellowship (amount not stated in CSC article)</t>
  </si>
  <si>
    <t xml:space="preserve">Launched 22 September 2025; application rounds not stated</t>
  </si>
  <si>
    <t xml:space="preserve">Dates TBA</t>
  </si>
  <si>
    <t xml:space="preserve">2025-11</t>
  </si>
  <si>
    <t xml:space="preserve">tribal.nic.in</t>
  </si>
  <si>
    <t xml:space="preserve">https://www.chronicleindia.in/online-magazine/csce-november-2025/adi-yuva-fellowship-and-adi-karmayogi-volunteers-empowering-tribal-youth</t>
  </si>
  <si>
    <t xml:space="preserve">Covered in CSC November 2025 issue; launched together with the Adi Karmayogi Volunteers Programme</t>
  </si>
  <si>
    <t xml:space="preserve">National Means cum Merit Scholarship Scheme (NMMS) - state application forms released</t>
  </si>
  <si>
    <t xml:space="preserve">Ministry of Education (centrally sponsored); applications via State Councils of Educational Research and Training (SCERTs)</t>
  </si>
  <si>
    <t xml:space="preserve">Meritorious students of economically weaker sections studying in classes IX-XII in State Government, Government-aided and local body schools; selected via state-level NMMS exam after class VIII</t>
  </si>
  <si>
    <t xml:space="preserve">Parental income up to Rs 3.5 lakh per annum (per scheme guidelines; earlier CSC coverage cites this enhancement)</t>
  </si>
  <si>
    <t xml:space="preserve">Class VIII students appearing for the state NMMS exam</t>
  </si>
  <si>
    <t xml:space="preserve">Annual state-wise cycle; exam typically held around October-December</t>
  </si>
  <si>
    <t xml:space="preserve">Rs 6,000 per annum (Rs 500 per month) as stated in CSC December 2025 article</t>
  </si>
  <si>
    <t xml:space="preserve">State-wise application windows announced by SCERTs (typically July-October); exam October-December</t>
  </si>
  <si>
    <t xml:space="preserve">2025-12</t>
  </si>
  <si>
    <t xml:space="preserve">https://www.chronicleindia.in/online-magazine/csce-december-2025/national-means-cum-merit-scholarship-scheme</t>
  </si>
  <si>
    <t xml:space="preserve">Covered in CSC December 2025 issue; scholarship rate as printed in CSC (some other sources cite Rs 12,000 per annum after revision)</t>
  </si>
  <si>
    <t xml:space="preserve">SPARK-4.0 Studentship Program for Ayurveda Research Ken (2025-26)</t>
  </si>
  <si>
    <t xml:space="preserve">Central Council for Research in Ayurvedic Sciences (CCRAS), Ministry of Ayush</t>
  </si>
  <si>
    <t xml:space="preserve">Undergraduate BAMS students of colleges recognised by the National Commission for Indian System of Medicine (NCISM)</t>
  </si>
  <si>
    <t xml:space="preserve">Annual (fourth edition)</t>
  </si>
  <si>
    <t xml:space="preserve">Rs 50,000 studentship per student (Rs 25,000 per month over two months); 300 students selected</t>
  </si>
  <si>
    <t xml:space="preserve">Registration window 15 October to 15 November 2025</t>
  </si>
  <si>
    <t xml:space="preserve">ccras.nic.in</t>
  </si>
  <si>
    <t xml:space="preserve">https://www.chronicleindia.in/online-magazine/csce-december-2025/spark-4-0-nurturing-young-ayurveda-researchers-nationwide</t>
  </si>
  <si>
    <t xml:space="preserve">Covered in CSC December 2025 issue (India Watch); announced 10 October 2025; also carried on CSC website current affairs</t>
  </si>
  <si>
    <t xml:space="preserve">Top Class Scholarship Scheme for SC Students - revised guidelines</t>
  </si>
  <si>
    <t xml:space="preserve">Ministry of Social Justice and Empowerment, Government of India</t>
  </si>
  <si>
    <t xml:space="preserve">SC students securing admission in notified institutions (IITs, IIMs, AIIMS, NITs, National Law Universities, NIFT, NID, IHMs)</t>
  </si>
  <si>
    <t xml:space="preserve">Scheduled Castes</t>
  </si>
  <si>
    <t xml:space="preserve">Family income up to Rs 8 lakh per annum</t>
  </si>
  <si>
    <t xml:space="preserve">Annual; National Scholarship Portal cycle</t>
  </si>
  <si>
    <t xml:space="preserve">Full tuition fee coverage plus academic allowances</t>
  </si>
  <si>
    <t xml:space="preserve">Revised guidelines issued 26 November 2025; NSP application windows apply</t>
  </si>
  <si>
    <t xml:space="preserve">2026-01</t>
  </si>
  <si>
    <t xml:space="preserve">https://www.chronicleindia.in/online-magazine/csce-january-2026/revised-guidelines-for-top-class-scholarship-scheme-for-sc-students</t>
  </si>
  <si>
    <t xml:space="preserve">Covered in CSC January 2026 issue; revision expands financial support and tightens institutional accountability</t>
  </si>
  <si>
    <t xml:space="preserve">Comprehensive Internship Policy of Ministry of Youth Affairs and Sports</t>
  </si>
  <si>
    <t xml:space="preserve">Ministry of Youth Affairs and Sports with Sports Authority of India, NADA and National Dope Testing Laboratory</t>
  </si>
  <si>
    <t xml:space="preserve">452 internships annually across MYAS and its autonomous bodies; more than 20 functional domains including sports management, sports science, event operations, communications, IT, legal affairs</t>
  </si>
  <si>
    <t xml:space="preserve">Annual (policy-based; launched 23 December 2025)</t>
  </si>
  <si>
    <t xml:space="preserve">Internship support (stipend terms per policy; not stated in CSC excerpt)</t>
  </si>
  <si>
    <t xml:space="preserve">Policy launched 23 December 2025; annual internship cycles</t>
  </si>
  <si>
    <t xml:space="preserve">2026-02</t>
  </si>
  <si>
    <t xml:space="preserve">yas.gov.in</t>
  </si>
  <si>
    <t xml:space="preserve">https://www.chronicleindia.in/online-magazine/csce-february-2026/comprehensive-internship-policy</t>
  </si>
  <si>
    <t xml:space="preserve">Covered in CSC February 2026 issue</t>
  </si>
  <si>
    <t xml:space="preserve">India-Netherlands Hydrogen Fellowship Programme</t>
  </si>
  <si>
    <t xml:space="preserve">Department of Science and Technology with the Government of the Netherlands</t>
  </si>
  <si>
    <t xml:space="preserve">Doctoral, postdoctoral and faculty applicants from Indian institutions; structured training in the Netherlands on hydrogen systems, safety, techno-economic analysis and life-cycle assessment</t>
  </si>
  <si>
    <t xml:space="preserve">Newly launched; cohort details awaited</t>
  </si>
  <si>
    <t xml:space="preserve">Fellowship (amount not stated in CSC item)</t>
  </si>
  <si>
    <t xml:space="preserve">Launched 6 February 2026; application details to be announced</t>
  </si>
  <si>
    <t xml:space="preserve">2026-04</t>
  </si>
  <si>
    <t xml:space="preserve">dst.gov.in</t>
  </si>
  <si>
    <t xml:space="preserve">https://www.chronicleindia.in/current-affairs/15770-india-netherlands-launch-hydrogen-fellowship-programme</t>
  </si>
  <si>
    <t xml:space="preserve">Covered on CSC website current affairs (9 February 2026) and in the CSC April 2026 issue (Netherlands country profile); paired with University of Groningen-IITs MoU covering 19 IITs</t>
  </si>
  <si>
    <t xml:space="preserve">Prime Minister Internship Scheme (PMIS) - eligibility expanded to final-year students</t>
  </si>
  <si>
    <t xml:space="preserve">Final-year undergraduate and postgraduate students (with institution NOC) added to existing eligible groups; paid internships in 300-plus companies</t>
  </si>
  <si>
    <t xml:space="preserve">18-25 years (per CSC web item); base scheme 21-24 years</t>
  </si>
  <si>
    <t xml:space="preserve">Pilot phase rounds; third round ongoing as of April 2026</t>
  </si>
  <si>
    <t xml:space="preserve">Minimum stipend Rs 9,000 per month (per CSC April 2026 web item; earlier rounds Rs 5,000 per month with Rs 6,000 one-time grant)</t>
  </si>
  <si>
    <t xml:space="preserve">Expansion announced 22 April 2026; applications via PMIS portal in rounds</t>
  </si>
  <si>
    <t xml:space="preserve">2026-03;2026-06</t>
  </si>
  <si>
    <t xml:space="preserve">https://www.chronicleindia.in/online-magazine/csce-june-2026/mca-expands-eligibility-criteria-of-the-prime-minister-internship-scheme</t>
  </si>
  <si>
    <t xml:space="preserve">CSC June 2026 issue covered the expansion; March 2026 issue carried PMIS fund underutilisation data; CSC website item 23 April 2026; Hindi CSC edition July 2026 carried PMIS 2026 guidelines (6-9 month internships, age 18-25)</t>
  </si>
  <si>
    <t xml:space="preserve">Project Udaan - free coaching and education support (Patna Nagar Nigam)</t>
  </si>
  <si>
    <t xml:space="preserve">Patna Municipal Corporation (Patna Nagar Nigam) with CSR partners</t>
  </si>
  <si>
    <t xml:space="preserve">Children of sanitation workers employed under the municipal corporation; free coaching for UPSC, BPSC, JEE and NEET; full financial assistance for education and related expenses</t>
  </si>
  <si>
    <t xml:space="preserve">Open to children of municipal sanitation workers</t>
  </si>
  <si>
    <t xml:space="preserve">Economically weaker focus (sanitation workers' families)</t>
  </si>
  <si>
    <t xml:space="preserve">Selection via preliminary examination and final merit list</t>
  </si>
  <si>
    <t xml:space="preserve">Full financial assistance for education and related expenses through CSR partnerships</t>
  </si>
  <si>
    <t xml:space="preserve">Launched April 2026; application schedule not stated</t>
  </si>
  <si>
    <t xml:space="preserve">2026-06</t>
  </si>
  <si>
    <t xml:space="preserve">Not stated in coverage</t>
  </si>
  <si>
    <t xml:space="preserve">https://www.chronicleindia.in/online-magazine/csce-june-2026/project-udaan</t>
  </si>
  <si>
    <t xml:space="preserve">Covered in CSC June 2026 issue; coaching-support scholarship for competitive exams</t>
  </si>
  <si>
    <t xml:space="preserve">Post-Matric Scholarship Scheme for SC Students (Punjab) 2026-27 via National Scholarship Portal</t>
  </si>
  <si>
    <t xml:space="preserve">Government of Punjab (applications through National Scholarship Portal)</t>
  </si>
  <si>
    <t xml:space="preserve">SC students pursuing higher education in Punjab for the 2026-27 academic session</t>
  </si>
  <si>
    <t xml:space="preserve">Not stated in CSC article</t>
  </si>
  <si>
    <t xml:space="preserve">Annual state cycle</t>
  </si>
  <si>
    <t xml:space="preserve">Financial assistance for higher education (course-related support per state scheme)</t>
  </si>
  <si>
    <t xml:space="preserve">Applications accepted from 1 July 2026; last date 15 November 2026; correction of defective applications till 30 November 2026</t>
  </si>
  <si>
    <t xml:space="preserve">2026-09</t>
  </si>
  <si>
    <t xml:space="preserve">https://www.chronicleindia.in/online-magazine/csce-september-2026/post-matric-scholarship-scheme-for-sc-students</t>
  </si>
  <si>
    <t xml:space="preserve">Covered in CSC September 2026 issue; launched 5 July 2026; also carried on CSC website current affairs (7 July 2026)</t>
  </si>
  <si>
    <t xml:space="preserve">PM-NAPS Special Intervention for Promotion of Apprenticeship in North-Eastern Region (FY 2026-27)</t>
  </si>
  <si>
    <t xml:space="preserve">Ministry of Skill Development and Entrepreneurship; implemented by Indian Institute of Entrepreneurship (IIE), Guwahati</t>
  </si>
  <si>
    <t xml:space="preserve">Apprentices across all eight North-Eastern States; target raised to 30,000 apprentices (about 15 percent above pilot); 15,000 to train outside the North-East including Central Government departments and PSUs</t>
  </si>
  <si>
    <t xml:space="preserve">As per apprenticeship norms</t>
  </si>
  <si>
    <t xml:space="preserve">Annual (FY 2026-27 extension)</t>
  </si>
  <si>
    <t xml:space="preserve">Apprenticeship with government stipend support per PM-NAPS norms (details not stated in CSC excerpt)</t>
  </si>
  <si>
    <t xml:space="preserve">Extended 17 July 2026 for FY 2026-27</t>
  </si>
  <si>
    <t xml:space="preserve">apprenticeshipindia.gov.in</t>
  </si>
  <si>
    <t xml:space="preserve">https://www.chronicleindia.in/online-magazine/archive-csce-september-2026/pm-naps-extended-for-north-eastern-region</t>
  </si>
  <si>
    <t xml:space="preserve">Covered in CSC September 2026 issue; apprenticeship scheme (internship-adjacent), included for completeness</t>
  </si>
  <si>
    <t xml:space="preserve">AIIA Garbhini Mitra Course for 2026-27 academic session</t>
  </si>
  <si>
    <t xml:space="preserve">All India Institute of Ayurveda (AIIA), New Delhi</t>
  </si>
  <si>
    <t xml:space="preserve">Six-month offline course training personnel in pregnancy and postnatal health support (Ayurvedic Garbhini Paricharya, Sutika Paricharya, Garbhadhana Vidhi); batches of maximum 20 students at AIIA campus, Sarita Vihar, New Delhi</t>
  </si>
  <si>
    <t xml:space="preserve">Minimum 18 years; Class 12 pass</t>
  </si>
  <si>
    <t xml:space="preserve">Annual (2026-27 session)</t>
  </si>
  <si>
    <t xml:space="preserve">Course fee not stated in CSC item</t>
  </si>
  <si>
    <t xml:space="preserve">Launched for 2026-27 academic session (announced late August 2026); application deadline not stated</t>
  </si>
  <si>
    <t xml:space="preserve">2026-08</t>
  </si>
  <si>
    <t xml:space="preserve">aiia.gov.in</t>
  </si>
  <si>
    <t xml:space="preserve">https://www.chronicleindia.in/current-affairs/17835-aiia-launches-garbhini-mitra-course</t>
  </si>
  <si>
    <t xml:space="preserve">CSC website current affairs (25 August 2026); not verified in a print issue within the window</t>
  </si>
  <si>
    <t xml:space="preserve">SHAKTI Scholars - NCW Young Research Fellowship</t>
  </si>
  <si>
    <t xml:space="preserve">National Commission for Women (NCW)</t>
  </si>
  <si>
    <t xml:space="preserve">Students and young researchers for policy-oriented research on women-related issues (safety, gender-based violence, legal rights, cyber safety, POSH, leadership); research grant released in phases</t>
  </si>
  <si>
    <t xml:space="preserve">Women</t>
  </si>
  <si>
    <t xml:space="preserve">21-30 years</t>
  </si>
  <si>
    <t xml:space="preserve">Cohort-based; six-month fellowship</t>
  </si>
  <si>
    <t xml:space="preserve">Research grant of Rs 1 lakh for six months</t>
  </si>
  <si>
    <t xml:space="preserve">Launched 22 December 2025; application window not stated in CSC item</t>
  </si>
  <si>
    <t xml:space="preserve">ncw.nic.in</t>
  </si>
  <si>
    <t xml:space="preserve">https://www.chronicleindia.in/current-affairs/15410-ncw-launches-shakti-scholars</t>
  </si>
  <si>
    <t xml:space="preserve">CSC website current affairs (23 December 2025); not verified in a print issue within the window</t>
  </si>
  <si>
    <t xml:space="preserve">Free Online Coaching for SC, OBC and PM CARES aspirants (MoSJE MoU)</t>
  </si>
  <si>
    <t xml:space="preserve">Ministry of Social Justice and Empowerment with a private online educational institute</t>
  </si>
  <si>
    <t xml:space="preserve">15,000 aspirants from Scheduled Castes, Other Backward Classes and PM CARES Children Scheme; free digital coaching for UPSC, SSC and Banking exams with live and recorded lectures plus test series</t>
  </si>
  <si>
    <t xml:space="preserve">SC, OBC, PM CARES beneficiaries</t>
  </si>
  <si>
    <t xml:space="preserve">One-time MoU-based programme (15,000 seats)</t>
  </si>
  <si>
    <t xml:space="preserve">Free coaching (no fee to beneficiaries)</t>
  </si>
  <si>
    <t xml:space="preserve">MoU signed 7 November 2025; enrolment schedule not stated</t>
  </si>
  <si>
    <t xml:space="preserve">socialjustice.gov.in</t>
  </si>
  <si>
    <t xml:space="preserve">https://www.chronicleindia.in/current-affairs/15177-free-online-coaching-for-marginalized-aspirants</t>
  </si>
  <si>
    <t xml:space="preserve">CSC website current affairs (8 November 2025); coaching-support scholarship; not verified in a print issue within the window</t>
  </si>
  <si>
    <t xml:space="preserve">Pre-Matric and Post-Matric Scholarships for SCs and OBCs - domicile requirement removed and SETU portal launched</t>
  </si>
  <si>
    <t xml:space="preserve">Department of Social Justice and Empowerment, Government of India</t>
  </si>
  <si>
    <t xml:space="preserve">Pre-matric and post-matric students of SC and OBC categories (about 1.2 crore beneficiaries annually); single-window SETU portal on UMANG for application, tracking and validation</t>
  </si>
  <si>
    <t xml:space="preserve">SC, OBC</t>
  </si>
  <si>
    <t xml:space="preserve">Annual scholarship cycles (pre-matric and post-matric)</t>
  </si>
  <si>
    <t xml:space="preserve">Scholarship benefits per respective schemes; SETU enables registration, tracking and validation</t>
  </si>
  <si>
    <t xml:space="preserve">Reform announced 19 June 2026; annual NSP cycles apply</t>
  </si>
  <si>
    <t xml:space="preserve">https://www.chronicleindia.in/current-affairs/17191-centre-eases-scholarship-access-for-sc-and-obc-students</t>
  </si>
  <si>
    <t xml:space="preserve">CSC website current affairs (20 June 2026); process reform for existing scholarship schemes rather than a new scheme; not verified in a print issue within the window</t>
  </si>
  <si>
    <t xml:space="preserve">NEET-UG 2026 (National Eligibility cum Entrance Test - Undergraduate)</t>
  </si>
  <si>
    <t xml:space="preserve">National Testing Agency (NTA)</t>
  </si>
  <si>
    <t xml:space="preserve">National medical entrance examination for undergraduate medical admissions; 2026 edition cancelled after a leaked guess paper circulated on WhatsApp, affecting about 2.3 million students</t>
  </si>
  <si>
    <t xml:space="preserve">Per NEET-UG norms</t>
  </si>
  <si>
    <t xml:space="preserve">Annual (exam typically held around May)</t>
  </si>
  <si>
    <t xml:space="preserve">Not applicable (entrance examination)</t>
  </si>
  <si>
    <t xml:space="preserve">2026 edition cancelled; examination reforms taken up via the Nandan Nilekani-led High-Powered Task Force (26 July 2026) and fast-track courts</t>
  </si>
  <si>
    <t xml:space="preserve">2026-07;2026-09</t>
  </si>
  <si>
    <t xml:space="preserve">nta.ac.in</t>
  </si>
  <si>
    <t xml:space="preserve">https://www.chronicleindia.in/online-magazine/csce-july-2026/conduct-of-competitive-exams-in-india-issues-challenges-and-reforms</t>
  </si>
  <si>
    <t xml:space="preserve">Included per research instruction for well-known items within CSC coverage: CSC July 2026 issue covered the cancellation and exam-reform issues; September 2026 issue covered fast-track courts for paper-leak cases; application-cycle details not verified in a CSC issue within the window</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</si>
</sst>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7">
    <fill>
      <patternFill patternType="none"/>
    </fill>
    <fill>
      <patternFill patternType="gray125"/>
    </fill>
    <fill>
      <patternFill patternType="solid">
        <fgColor rgb="FF1F4E79"/>
        <bgColor rgb="FF003366"/>
      </patternFill>
    </fill>
    <fill>
      <patternFill patternType="solid">
        <fgColor rgb="FFDDEBF7"/>
        <bgColor rgb="FFEDEDED"/>
      </patternFill>
    </fill>
    <fill>
      <patternFill patternType="solid">
        <fgColor rgb="FFFFC7CE"/>
        <bgColor rgb="FFEDEDED"/>
      </patternFill>
    </fill>
    <fill>
      <patternFill patternType="solid">
        <fgColor rgb="FFC6EFCE"/>
        <bgColor rgb="FFDDEBF7"/>
      </patternFill>
    </fill>
    <fill>
      <patternFill patternType="solid">
        <fgColor rgb="FFEDEDED"/>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12</v>
      </c>
    </row>
    <row r="20" customFormat="false" ht="15" hidden="false" customHeight="false" outlineLevel="0" collapsed="false">
      <c r="B20" s="6" t="s">
        <v>14</v>
      </c>
      <c r="C20" s="7" t="s">
        <v>15</v>
      </c>
      <c r="D20" s="8" t="n">
        <f aca="false">COUNTIF(Log!B2:B300,"Internship")</f>
        <v>5</v>
      </c>
    </row>
    <row r="21" customFormat="false" ht="15" hidden="false" customHeight="false" outlineLevel="0" collapsed="false">
      <c r="B21" s="6" t="s">
        <v>16</v>
      </c>
      <c r="C21" s="7" t="s">
        <v>17</v>
      </c>
      <c r="D21" s="8" t="n">
        <f aca="false">COUNTIF(Log!B2:B300,"Admission / Entrance Exam")</f>
        <v>3</v>
      </c>
    </row>
    <row r="23" customFormat="false" ht="15" hidden="false" customHeight="false" outlineLevel="0" collapsed="false">
      <c r="B23" s="9" t="s">
        <v>18</v>
      </c>
      <c r="D23" s="10" t="n">
        <f aca="false">COUNTA(Log!A2:A300)</f>
        <v>20</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14</v>
      </c>
      <c r="C2" s="7" t="s">
        <v>36</v>
      </c>
      <c r="D2" s="7" t="s">
        <v>37</v>
      </c>
      <c r="E2" s="7" t="s">
        <v>38</v>
      </c>
      <c r="F2" s="7" t="s">
        <v>39</v>
      </c>
      <c r="G2" s="7" t="s">
        <v>40</v>
      </c>
      <c r="H2" s="7" t="s">
        <v>41</v>
      </c>
      <c r="I2" s="7" t="s">
        <v>41</v>
      </c>
      <c r="J2" s="7" t="s">
        <v>42</v>
      </c>
      <c r="K2" s="7" t="s">
        <v>43</v>
      </c>
      <c r="L2" s="7" t="s">
        <v>44</v>
      </c>
      <c r="M2" s="12" t="s">
        <v>45</v>
      </c>
      <c r="N2" s="7" t="s">
        <v>46</v>
      </c>
      <c r="O2" s="7" t="s">
        <v>47</v>
      </c>
      <c r="P2" s="7" t="s">
        <v>48</v>
      </c>
      <c r="Q2" s="7" t="s">
        <v>49</v>
      </c>
    </row>
    <row r="3" customFormat="false" ht="15" hidden="false" customHeight="false" outlineLevel="0" collapsed="false">
      <c r="A3" s="7" t="n">
        <v>2</v>
      </c>
      <c r="B3" s="7" t="s">
        <v>14</v>
      </c>
      <c r="C3" s="7" t="s">
        <v>50</v>
      </c>
      <c r="D3" s="7" t="s">
        <v>51</v>
      </c>
      <c r="E3" s="7" t="s">
        <v>52</v>
      </c>
      <c r="F3" s="7" t="s">
        <v>39</v>
      </c>
      <c r="G3" s="7" t="s">
        <v>40</v>
      </c>
      <c r="H3" s="7" t="s">
        <v>41</v>
      </c>
      <c r="I3" s="7" t="s">
        <v>53</v>
      </c>
      <c r="J3" s="7" t="s">
        <v>54</v>
      </c>
      <c r="K3" s="7" t="s">
        <v>55</v>
      </c>
      <c r="L3" s="7" t="s">
        <v>56</v>
      </c>
      <c r="M3" s="13" t="s">
        <v>57</v>
      </c>
      <c r="N3" s="7" t="s">
        <v>58</v>
      </c>
      <c r="O3" s="7" t="s">
        <v>59</v>
      </c>
      <c r="P3" s="7" t="s">
        <v>60</v>
      </c>
      <c r="Q3" s="7" t="s">
        <v>61</v>
      </c>
    </row>
    <row r="4" customFormat="false" ht="15" hidden="false" customHeight="false" outlineLevel="0" collapsed="false">
      <c r="A4" s="7" t="n">
        <v>3</v>
      </c>
      <c r="B4" s="7" t="s">
        <v>16</v>
      </c>
      <c r="C4" s="7" t="s">
        <v>62</v>
      </c>
      <c r="D4" s="7" t="s">
        <v>63</v>
      </c>
      <c r="E4" s="7" t="s">
        <v>64</v>
      </c>
      <c r="F4" s="7" t="s">
        <v>39</v>
      </c>
      <c r="G4" s="7" t="s">
        <v>40</v>
      </c>
      <c r="H4" s="7" t="s">
        <v>65</v>
      </c>
      <c r="I4" s="7" t="s">
        <v>66</v>
      </c>
      <c r="J4" s="7" t="s">
        <v>67</v>
      </c>
      <c r="K4" s="7" t="s">
        <v>68</v>
      </c>
      <c r="L4" s="7" t="s">
        <v>69</v>
      </c>
      <c r="M4" s="12" t="s">
        <v>45</v>
      </c>
      <c r="N4" s="7" t="s">
        <v>70</v>
      </c>
      <c r="O4" s="7" t="s">
        <v>71</v>
      </c>
      <c r="P4" s="7" t="s">
        <v>72</v>
      </c>
      <c r="Q4" s="7" t="s">
        <v>73</v>
      </c>
    </row>
    <row r="5" customFormat="false" ht="15" hidden="false" customHeight="false" outlineLevel="0" collapsed="false">
      <c r="A5" s="7" t="n">
        <v>4</v>
      </c>
      <c r="B5" s="7" t="s">
        <v>12</v>
      </c>
      <c r="C5" s="7" t="s">
        <v>74</v>
      </c>
      <c r="D5" s="7" t="s">
        <v>75</v>
      </c>
      <c r="E5" s="7" t="s">
        <v>76</v>
      </c>
      <c r="F5" s="7" t="s">
        <v>39</v>
      </c>
      <c r="G5" s="7" t="s">
        <v>40</v>
      </c>
      <c r="H5" s="7" t="s">
        <v>77</v>
      </c>
      <c r="I5" s="7" t="s">
        <v>78</v>
      </c>
      <c r="J5" s="7" t="s">
        <v>79</v>
      </c>
      <c r="K5" s="7" t="s">
        <v>80</v>
      </c>
      <c r="L5" s="7" t="s">
        <v>81</v>
      </c>
      <c r="M5" s="13" t="s">
        <v>57</v>
      </c>
      <c r="N5" s="7" t="s">
        <v>82</v>
      </c>
      <c r="O5" s="7" t="s">
        <v>83</v>
      </c>
      <c r="P5" s="7" t="s">
        <v>84</v>
      </c>
      <c r="Q5" s="7" t="s">
        <v>85</v>
      </c>
    </row>
    <row r="6" customFormat="false" ht="15" hidden="false" customHeight="false" outlineLevel="0" collapsed="false">
      <c r="A6" s="7" t="n">
        <v>5</v>
      </c>
      <c r="B6" s="7" t="s">
        <v>12</v>
      </c>
      <c r="C6" s="7" t="s">
        <v>86</v>
      </c>
      <c r="D6" s="7" t="s">
        <v>87</v>
      </c>
      <c r="E6" s="7" t="s">
        <v>88</v>
      </c>
      <c r="F6" s="7" t="s">
        <v>89</v>
      </c>
      <c r="G6" s="7" t="s">
        <v>40</v>
      </c>
      <c r="H6" s="7" t="s">
        <v>41</v>
      </c>
      <c r="I6" s="7" t="s">
        <v>41</v>
      </c>
      <c r="J6" s="7" t="s">
        <v>90</v>
      </c>
      <c r="K6" s="7" t="s">
        <v>91</v>
      </c>
      <c r="L6" s="7" t="s">
        <v>92</v>
      </c>
      <c r="M6" s="14" t="s">
        <v>93</v>
      </c>
      <c r="N6" s="7" t="s">
        <v>94</v>
      </c>
      <c r="O6" s="7" t="s">
        <v>95</v>
      </c>
      <c r="P6" s="7" t="s">
        <v>96</v>
      </c>
      <c r="Q6" s="7" t="s">
        <v>97</v>
      </c>
    </row>
    <row r="7" customFormat="false" ht="15" hidden="false" customHeight="false" outlineLevel="0" collapsed="false">
      <c r="A7" s="7" t="n">
        <v>6</v>
      </c>
      <c r="B7" s="7" t="s">
        <v>12</v>
      </c>
      <c r="C7" s="7" t="s">
        <v>98</v>
      </c>
      <c r="D7" s="7" t="s">
        <v>99</v>
      </c>
      <c r="E7" s="7" t="s">
        <v>100</v>
      </c>
      <c r="F7" s="7" t="s">
        <v>101</v>
      </c>
      <c r="G7" s="7" t="s">
        <v>40</v>
      </c>
      <c r="H7" s="7" t="s">
        <v>41</v>
      </c>
      <c r="I7" s="7" t="s">
        <v>102</v>
      </c>
      <c r="J7" s="7" t="s">
        <v>103</v>
      </c>
      <c r="K7" s="7" t="s">
        <v>104</v>
      </c>
      <c r="L7" s="7" t="s">
        <v>105</v>
      </c>
      <c r="M7" s="15" t="s">
        <v>106</v>
      </c>
      <c r="N7" s="7" t="s">
        <v>107</v>
      </c>
      <c r="O7" s="7" t="s">
        <v>108</v>
      </c>
      <c r="P7" s="7" t="s">
        <v>109</v>
      </c>
      <c r="Q7" s="7" t="s">
        <v>110</v>
      </c>
    </row>
    <row r="8" customFormat="false" ht="15" hidden="false" customHeight="false" outlineLevel="0" collapsed="false">
      <c r="A8" s="7" t="n">
        <v>7</v>
      </c>
      <c r="B8" s="7" t="s">
        <v>12</v>
      </c>
      <c r="C8" s="7" t="s">
        <v>111</v>
      </c>
      <c r="D8" s="7" t="s">
        <v>112</v>
      </c>
      <c r="E8" s="7" t="s">
        <v>113</v>
      </c>
      <c r="F8" s="7" t="s">
        <v>39</v>
      </c>
      <c r="G8" s="7" t="s">
        <v>40</v>
      </c>
      <c r="H8" s="7" t="s">
        <v>114</v>
      </c>
      <c r="I8" s="7" t="s">
        <v>115</v>
      </c>
      <c r="J8" s="7" t="s">
        <v>116</v>
      </c>
      <c r="K8" s="7" t="s">
        <v>117</v>
      </c>
      <c r="L8" s="7" t="s">
        <v>118</v>
      </c>
      <c r="M8" s="14" t="s">
        <v>93</v>
      </c>
      <c r="N8" s="7" t="s">
        <v>119</v>
      </c>
      <c r="O8" s="7" t="s">
        <v>83</v>
      </c>
      <c r="P8" s="7" t="s">
        <v>120</v>
      </c>
      <c r="Q8" s="7" t="s">
        <v>121</v>
      </c>
    </row>
    <row r="9" customFormat="false" ht="15" hidden="false" customHeight="false" outlineLevel="0" collapsed="false">
      <c r="A9" s="7" t="n">
        <v>8</v>
      </c>
      <c r="B9" s="7" t="s">
        <v>12</v>
      </c>
      <c r="C9" s="7" t="s">
        <v>122</v>
      </c>
      <c r="D9" s="7" t="s">
        <v>123</v>
      </c>
      <c r="E9" s="7" t="s">
        <v>124</v>
      </c>
      <c r="F9" s="7" t="s">
        <v>39</v>
      </c>
      <c r="G9" s="7" t="s">
        <v>40</v>
      </c>
      <c r="H9" s="7" t="s">
        <v>65</v>
      </c>
      <c r="I9" s="7" t="s">
        <v>65</v>
      </c>
      <c r="J9" s="7" t="s">
        <v>125</v>
      </c>
      <c r="K9" s="7" t="s">
        <v>126</v>
      </c>
      <c r="L9" s="7" t="s">
        <v>127</v>
      </c>
      <c r="M9" s="13" t="s">
        <v>57</v>
      </c>
      <c r="N9" s="7" t="s">
        <v>119</v>
      </c>
      <c r="O9" s="7" t="s">
        <v>128</v>
      </c>
      <c r="P9" s="7" t="s">
        <v>129</v>
      </c>
      <c r="Q9" s="7" t="s">
        <v>130</v>
      </c>
    </row>
    <row r="10" customFormat="false" ht="15" hidden="false" customHeight="false" outlineLevel="0" collapsed="false">
      <c r="A10" s="7" t="n">
        <v>9</v>
      </c>
      <c r="B10" s="7" t="s">
        <v>12</v>
      </c>
      <c r="C10" s="7" t="s">
        <v>131</v>
      </c>
      <c r="D10" s="7" t="s">
        <v>132</v>
      </c>
      <c r="E10" s="7" t="s">
        <v>133</v>
      </c>
      <c r="F10" s="7" t="s">
        <v>134</v>
      </c>
      <c r="G10" s="7" t="s">
        <v>40</v>
      </c>
      <c r="H10" s="7" t="s">
        <v>135</v>
      </c>
      <c r="I10" s="7" t="s">
        <v>41</v>
      </c>
      <c r="J10" s="7" t="s">
        <v>136</v>
      </c>
      <c r="K10" s="7" t="s">
        <v>137</v>
      </c>
      <c r="L10" s="7" t="s">
        <v>138</v>
      </c>
      <c r="M10" s="14" t="s">
        <v>93</v>
      </c>
      <c r="N10" s="7" t="s">
        <v>139</v>
      </c>
      <c r="O10" s="7" t="s">
        <v>83</v>
      </c>
      <c r="P10" s="7" t="s">
        <v>140</v>
      </c>
      <c r="Q10" s="7" t="s">
        <v>141</v>
      </c>
    </row>
    <row r="11" customFormat="false" ht="15" hidden="false" customHeight="false" outlineLevel="0" collapsed="false">
      <c r="A11" s="7" t="n">
        <v>10</v>
      </c>
      <c r="B11" s="7" t="s">
        <v>14</v>
      </c>
      <c r="C11" s="7" t="s">
        <v>142</v>
      </c>
      <c r="D11" s="7" t="s">
        <v>143</v>
      </c>
      <c r="E11" s="7" t="s">
        <v>144</v>
      </c>
      <c r="F11" s="7" t="s">
        <v>39</v>
      </c>
      <c r="G11" s="7" t="s">
        <v>40</v>
      </c>
      <c r="H11" s="7" t="s">
        <v>41</v>
      </c>
      <c r="I11" s="7" t="s">
        <v>41</v>
      </c>
      <c r="J11" s="7" t="s">
        <v>145</v>
      </c>
      <c r="K11" s="7" t="s">
        <v>146</v>
      </c>
      <c r="L11" s="7" t="s">
        <v>147</v>
      </c>
      <c r="M11" s="12" t="s">
        <v>45</v>
      </c>
      <c r="N11" s="7" t="s">
        <v>148</v>
      </c>
      <c r="O11" s="7" t="s">
        <v>149</v>
      </c>
      <c r="P11" s="7" t="s">
        <v>150</v>
      </c>
      <c r="Q11" s="7" t="s">
        <v>151</v>
      </c>
    </row>
    <row r="12" customFormat="false" ht="15" hidden="false" customHeight="false" outlineLevel="0" collapsed="false">
      <c r="A12" s="7" t="n">
        <v>11</v>
      </c>
      <c r="B12" s="7" t="s">
        <v>12</v>
      </c>
      <c r="C12" s="7" t="s">
        <v>152</v>
      </c>
      <c r="D12" s="7" t="s">
        <v>153</v>
      </c>
      <c r="E12" s="7" t="s">
        <v>154</v>
      </c>
      <c r="F12" s="7" t="s">
        <v>39</v>
      </c>
      <c r="G12" s="7" t="s">
        <v>40</v>
      </c>
      <c r="H12" s="7" t="s">
        <v>65</v>
      </c>
      <c r="I12" s="7" t="s">
        <v>41</v>
      </c>
      <c r="J12" s="7" t="s">
        <v>155</v>
      </c>
      <c r="K12" s="7" t="s">
        <v>156</v>
      </c>
      <c r="L12" s="7" t="s">
        <v>157</v>
      </c>
      <c r="M12" s="15" t="s">
        <v>106</v>
      </c>
      <c r="N12" s="7" t="s">
        <v>158</v>
      </c>
      <c r="O12" s="7" t="s">
        <v>159</v>
      </c>
      <c r="P12" s="7" t="s">
        <v>160</v>
      </c>
      <c r="Q12" s="7" t="s">
        <v>161</v>
      </c>
    </row>
    <row r="13" customFormat="false" ht="15" hidden="false" customHeight="false" outlineLevel="0" collapsed="false">
      <c r="A13" s="7" t="n">
        <v>12</v>
      </c>
      <c r="B13" s="7" t="s">
        <v>14</v>
      </c>
      <c r="C13" s="7" t="s">
        <v>162</v>
      </c>
      <c r="D13" s="7" t="s">
        <v>51</v>
      </c>
      <c r="E13" s="7" t="s">
        <v>163</v>
      </c>
      <c r="F13" s="7" t="s">
        <v>39</v>
      </c>
      <c r="G13" s="7" t="s">
        <v>40</v>
      </c>
      <c r="H13" s="7" t="s">
        <v>41</v>
      </c>
      <c r="I13" s="7" t="s">
        <v>164</v>
      </c>
      <c r="J13" s="7" t="s">
        <v>165</v>
      </c>
      <c r="K13" s="7" t="s">
        <v>166</v>
      </c>
      <c r="L13" s="7" t="s">
        <v>167</v>
      </c>
      <c r="M13" s="14" t="s">
        <v>93</v>
      </c>
      <c r="N13" s="7" t="s">
        <v>168</v>
      </c>
      <c r="O13" s="7" t="s">
        <v>59</v>
      </c>
      <c r="P13" s="7" t="s">
        <v>169</v>
      </c>
      <c r="Q13" s="7" t="s">
        <v>170</v>
      </c>
    </row>
    <row r="14" customFormat="false" ht="15" hidden="false" customHeight="false" outlineLevel="0" collapsed="false">
      <c r="A14" s="7" t="n">
        <v>13</v>
      </c>
      <c r="B14" s="7" t="s">
        <v>12</v>
      </c>
      <c r="C14" s="7" t="s">
        <v>171</v>
      </c>
      <c r="D14" s="7" t="s">
        <v>172</v>
      </c>
      <c r="E14" s="7" t="s">
        <v>173</v>
      </c>
      <c r="F14" s="7" t="s">
        <v>174</v>
      </c>
      <c r="G14" s="7" t="s">
        <v>40</v>
      </c>
      <c r="H14" s="7" t="s">
        <v>175</v>
      </c>
      <c r="I14" s="7" t="s">
        <v>41</v>
      </c>
      <c r="J14" s="7" t="s">
        <v>176</v>
      </c>
      <c r="K14" s="7" t="s">
        <v>177</v>
      </c>
      <c r="L14" s="7" t="s">
        <v>178</v>
      </c>
      <c r="M14" s="15" t="s">
        <v>106</v>
      </c>
      <c r="N14" s="7" t="s">
        <v>179</v>
      </c>
      <c r="O14" s="7" t="s">
        <v>180</v>
      </c>
      <c r="P14" s="7" t="s">
        <v>181</v>
      </c>
      <c r="Q14" s="7" t="s">
        <v>182</v>
      </c>
    </row>
    <row r="15" customFormat="false" ht="15" hidden="false" customHeight="false" outlineLevel="0" collapsed="false">
      <c r="A15" s="7" t="n">
        <v>14</v>
      </c>
      <c r="B15" s="7" t="s">
        <v>12</v>
      </c>
      <c r="C15" s="7" t="s">
        <v>183</v>
      </c>
      <c r="D15" s="7" t="s">
        <v>184</v>
      </c>
      <c r="E15" s="7" t="s">
        <v>185</v>
      </c>
      <c r="F15" s="7" t="s">
        <v>134</v>
      </c>
      <c r="G15" s="7" t="s">
        <v>40</v>
      </c>
      <c r="H15" s="7" t="s">
        <v>186</v>
      </c>
      <c r="I15" s="7" t="s">
        <v>41</v>
      </c>
      <c r="J15" s="7" t="s">
        <v>187</v>
      </c>
      <c r="K15" s="7" t="s">
        <v>188</v>
      </c>
      <c r="L15" s="7" t="s">
        <v>189</v>
      </c>
      <c r="M15" s="14" t="s">
        <v>93</v>
      </c>
      <c r="N15" s="7" t="s">
        <v>190</v>
      </c>
      <c r="O15" s="7" t="s">
        <v>83</v>
      </c>
      <c r="P15" s="7" t="s">
        <v>191</v>
      </c>
      <c r="Q15" s="7" t="s">
        <v>192</v>
      </c>
    </row>
    <row r="16" customFormat="false" ht="15" hidden="false" customHeight="false" outlineLevel="0" collapsed="false">
      <c r="A16" s="7" t="n">
        <v>15</v>
      </c>
      <c r="B16" s="7" t="s">
        <v>14</v>
      </c>
      <c r="C16" s="7" t="s">
        <v>193</v>
      </c>
      <c r="D16" s="7" t="s">
        <v>194</v>
      </c>
      <c r="E16" s="7" t="s">
        <v>195</v>
      </c>
      <c r="F16" s="7" t="s">
        <v>39</v>
      </c>
      <c r="G16" s="7" t="s">
        <v>40</v>
      </c>
      <c r="H16" s="7" t="s">
        <v>41</v>
      </c>
      <c r="I16" s="7" t="s">
        <v>196</v>
      </c>
      <c r="J16" s="7" t="s">
        <v>197</v>
      </c>
      <c r="K16" s="7" t="s">
        <v>198</v>
      </c>
      <c r="L16" s="7" t="s">
        <v>199</v>
      </c>
      <c r="M16" s="14" t="s">
        <v>93</v>
      </c>
      <c r="N16" s="7" t="s">
        <v>190</v>
      </c>
      <c r="O16" s="7" t="s">
        <v>200</v>
      </c>
      <c r="P16" s="7" t="s">
        <v>201</v>
      </c>
      <c r="Q16" s="7" t="s">
        <v>202</v>
      </c>
    </row>
    <row r="17" customFormat="false" ht="15" hidden="false" customHeight="false" outlineLevel="0" collapsed="false">
      <c r="A17" s="7" t="n">
        <v>16</v>
      </c>
      <c r="B17" s="7" t="s">
        <v>16</v>
      </c>
      <c r="C17" s="7" t="s">
        <v>203</v>
      </c>
      <c r="D17" s="7" t="s">
        <v>204</v>
      </c>
      <c r="E17" s="7" t="s">
        <v>205</v>
      </c>
      <c r="F17" s="7" t="s">
        <v>39</v>
      </c>
      <c r="G17" s="7" t="s">
        <v>40</v>
      </c>
      <c r="H17" s="7" t="s">
        <v>65</v>
      </c>
      <c r="I17" s="7" t="s">
        <v>206</v>
      </c>
      <c r="J17" s="7" t="s">
        <v>207</v>
      </c>
      <c r="K17" s="7" t="s">
        <v>208</v>
      </c>
      <c r="L17" s="7" t="s">
        <v>209</v>
      </c>
      <c r="M17" s="14" t="s">
        <v>93</v>
      </c>
      <c r="N17" s="7" t="s">
        <v>210</v>
      </c>
      <c r="O17" s="7" t="s">
        <v>211</v>
      </c>
      <c r="P17" s="7" t="s">
        <v>212</v>
      </c>
      <c r="Q17" s="7" t="s">
        <v>213</v>
      </c>
    </row>
    <row r="18" customFormat="false" ht="15" hidden="false" customHeight="false" outlineLevel="0" collapsed="false">
      <c r="A18" s="7" t="n">
        <v>17</v>
      </c>
      <c r="B18" s="7" t="s">
        <v>12</v>
      </c>
      <c r="C18" s="7" t="s">
        <v>214</v>
      </c>
      <c r="D18" s="7" t="s">
        <v>215</v>
      </c>
      <c r="E18" s="7" t="s">
        <v>216</v>
      </c>
      <c r="F18" s="7" t="s">
        <v>39</v>
      </c>
      <c r="G18" s="7" t="s">
        <v>217</v>
      </c>
      <c r="H18" s="7" t="s">
        <v>65</v>
      </c>
      <c r="I18" s="7" t="s">
        <v>218</v>
      </c>
      <c r="J18" s="7" t="s">
        <v>219</v>
      </c>
      <c r="K18" s="7" t="s">
        <v>220</v>
      </c>
      <c r="L18" s="7" t="s">
        <v>221</v>
      </c>
      <c r="M18" s="15" t="s">
        <v>106</v>
      </c>
      <c r="N18" s="7" t="s">
        <v>119</v>
      </c>
      <c r="O18" s="7" t="s">
        <v>222</v>
      </c>
      <c r="P18" s="7" t="s">
        <v>223</v>
      </c>
      <c r="Q18" s="7" t="s">
        <v>224</v>
      </c>
    </row>
    <row r="19" customFormat="false" ht="15" hidden="false" customHeight="false" outlineLevel="0" collapsed="false">
      <c r="A19" s="7" t="n">
        <v>18</v>
      </c>
      <c r="B19" s="7" t="s">
        <v>12</v>
      </c>
      <c r="C19" s="7" t="s">
        <v>225</v>
      </c>
      <c r="D19" s="7" t="s">
        <v>226</v>
      </c>
      <c r="E19" s="7" t="s">
        <v>227</v>
      </c>
      <c r="F19" s="7" t="s">
        <v>228</v>
      </c>
      <c r="G19" s="7" t="s">
        <v>40</v>
      </c>
      <c r="H19" s="7" t="s">
        <v>41</v>
      </c>
      <c r="I19" s="7" t="s">
        <v>41</v>
      </c>
      <c r="J19" s="7" t="s">
        <v>229</v>
      </c>
      <c r="K19" s="7" t="s">
        <v>230</v>
      </c>
      <c r="L19" s="7" t="s">
        <v>231</v>
      </c>
      <c r="M19" s="15" t="s">
        <v>106</v>
      </c>
      <c r="N19" s="7" t="s">
        <v>107</v>
      </c>
      <c r="O19" s="7" t="s">
        <v>232</v>
      </c>
      <c r="P19" s="7" t="s">
        <v>233</v>
      </c>
      <c r="Q19" s="7" t="s">
        <v>234</v>
      </c>
    </row>
    <row r="20" customFormat="false" ht="15" hidden="false" customHeight="false" outlineLevel="0" collapsed="false">
      <c r="A20" s="7" t="n">
        <v>19</v>
      </c>
      <c r="B20" s="7" t="s">
        <v>12</v>
      </c>
      <c r="C20" s="7" t="s">
        <v>235</v>
      </c>
      <c r="D20" s="7" t="s">
        <v>236</v>
      </c>
      <c r="E20" s="7" t="s">
        <v>237</v>
      </c>
      <c r="F20" s="7" t="s">
        <v>238</v>
      </c>
      <c r="G20" s="7" t="s">
        <v>40</v>
      </c>
      <c r="H20" s="7" t="s">
        <v>41</v>
      </c>
      <c r="I20" s="7" t="s">
        <v>41</v>
      </c>
      <c r="J20" s="7" t="s">
        <v>239</v>
      </c>
      <c r="K20" s="7" t="s">
        <v>240</v>
      </c>
      <c r="L20" s="7" t="s">
        <v>241</v>
      </c>
      <c r="M20" s="14" t="s">
        <v>93</v>
      </c>
      <c r="N20" s="7" t="s">
        <v>179</v>
      </c>
      <c r="O20" s="7" t="s">
        <v>83</v>
      </c>
      <c r="P20" s="7" t="s">
        <v>242</v>
      </c>
      <c r="Q20" s="7" t="s">
        <v>243</v>
      </c>
    </row>
    <row r="21" customFormat="false" ht="15" hidden="false" customHeight="false" outlineLevel="0" collapsed="false">
      <c r="A21" s="7" t="n">
        <v>20</v>
      </c>
      <c r="B21" s="7" t="s">
        <v>16</v>
      </c>
      <c r="C21" s="7" t="s">
        <v>244</v>
      </c>
      <c r="D21" s="7" t="s">
        <v>245</v>
      </c>
      <c r="E21" s="7" t="s">
        <v>246</v>
      </c>
      <c r="F21" s="7" t="s">
        <v>39</v>
      </c>
      <c r="G21" s="7" t="s">
        <v>40</v>
      </c>
      <c r="H21" s="7" t="s">
        <v>65</v>
      </c>
      <c r="I21" s="7" t="s">
        <v>247</v>
      </c>
      <c r="J21" s="7" t="s">
        <v>248</v>
      </c>
      <c r="K21" s="7" t="s">
        <v>249</v>
      </c>
      <c r="L21" s="7" t="s">
        <v>250</v>
      </c>
      <c r="M21" s="13" t="s">
        <v>57</v>
      </c>
      <c r="N21" s="7" t="s">
        <v>251</v>
      </c>
      <c r="O21" s="7" t="s">
        <v>252</v>
      </c>
      <c r="P21" s="7" t="s">
        <v>253</v>
      </c>
      <c r="Q21" s="7" t="s">
        <v>254</v>
      </c>
    </row>
  </sheetData>
  <autoFilter ref="A1:Q21"/>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2026-09-28T06:29:37Z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