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og" sheetId="2" state="visible" r:id="rId2"/>
  </sheets>
  <definedNames>
    <definedName name="_xlnm._FilterDatabase" localSheetId="1" hidden="1">'Log'!$A$1:$Q$23</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color rgb="FFFFFFFF"/>
      <sz val="10"/>
    </font>
    <font>
      <name val="Arial"/>
      <charset val="1"/>
      <family val="0"/>
      <b val="1"/>
      <sz val="10"/>
    </font>
    <font>
      <name val="Arial"/>
      <charset val="1"/>
      <family val="0"/>
      <b val="1"/>
      <color rgb="FF1F4E79"/>
      <sz val="11"/>
    </font>
  </fonts>
  <fills count="7">
    <fill>
      <patternFill/>
    </fill>
    <fill>
      <patternFill patternType="gray125"/>
    </fill>
    <fill>
      <patternFill patternType="solid">
        <fgColor rgb="FF1F4E79"/>
        <bgColor rgb="FF003366"/>
      </patternFill>
    </fill>
    <fill>
      <patternFill patternType="solid">
        <fgColor rgb="FFDDEBF7"/>
        <bgColor rgb="FFEDEDED"/>
      </patternFill>
    </fill>
    <fill>
      <patternFill patternType="solid">
        <fgColor rgb="FFFFC7CE"/>
        <bgColor rgb="FFEDEDED"/>
      </patternFill>
    </fill>
    <fill>
      <patternFill patternType="solid">
        <fgColor rgb="FFC6EFCE"/>
        <bgColor rgb="FFDDEBF7"/>
      </patternFill>
    </fill>
    <fill>
      <patternFill patternType="solid">
        <fgColor rgb="FFEDEDED"/>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EDEDED"/>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7" min="1" max="1"/>
    <col width="30" customWidth="1" style="17" min="2" max="2"/>
    <col width="95" customWidth="1" style="17" min="3" max="3"/>
    <col width="16" customWidth="1" style="17" min="4" max="4"/>
  </cols>
  <sheetData>
    <row r="1"/>
    <row r="2" ht="15" customHeight="1" s="18">
      <c r="B2" s="19" t="inlineStr">
        <is>
          <t>Civil Services Chronicle - Opportunities Log</t>
        </is>
      </c>
    </row>
    <row r="3" ht="15" customHeight="1" s="18">
      <c r="B3" s="20" t="inlineStr">
        <is>
          <t>Coverage window: April 2025 - October 2026 (19 months) | Sections logged: scholarships &amp; fellowships, internships, admissions &amp; entrance exams (no government job recruitment, per scope)</t>
        </is>
      </c>
    </row>
    <row r="4" ht="15" customHeight="1" s="18">
      <c r="B4" s="20" t="inlineStr">
        <is>
          <t>Compiled 28 September 2026 | updated 21 October 2026 with the 1-21 October 2026 scrape</t>
        </is>
      </c>
    </row>
    <row r="5"/>
    <row r="6" ht="15" customHeight="1" s="18">
      <c r="B6" s="21" t="inlineStr">
        <is>
          <t>Method &amp; caveats</t>
        </is>
      </c>
    </row>
    <row r="7" ht="15" customHeight="1" s="18">
      <c r="B7" s="22" t="inlineStr">
        <is>
          <t>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is>
      </c>
    </row>
    <row r="8" ht="15" customHeight="1" s="18"/>
    <row r="9" ht="15" customHeight="1" s="18">
      <c r="B9" s="22" t="inlineStr">
        <is>
          <t>Coverage Month = the month(s) the item appeared (or would customarily appear) in the magazine, based on the notification's own public timeline.</t>
        </is>
      </c>
    </row>
    <row r="10" ht="15" customHeight="1" s="18"/>
    <row r="11" ht="15" customHeight="1" s="18">
      <c r="B11" s="22" t="inlineStr">
        <is>
          <t>Status is as of 28 September 2026: green = open now, blue = rolling applications, amber = upcoming, grey = dates to be announced, red = closed. Closed items are retained because most exams and scholarship cycles are annual and repeat each year.</t>
        </is>
      </c>
    </row>
    <row r="12" ht="15" customHeight="1" s="18"/>
    <row r="13" ht="15" customHeight="1" s="18">
      <c r="B13" s="22" t="inlineStr">
        <is>
          <t>Deadlines and fees change - always verify on the Official Website column before relying on any date. This is an information compilation, not an endorsement; never apply through third-party paid agents.</t>
        </is>
      </c>
    </row>
    <row r="14" ht="15" customHeight="1" s="18"/>
    <row r="15"/>
    <row r="16"/>
    <row r="17" ht="15" customHeight="1" s="18">
      <c r="B17" s="21" t="inlineStr">
        <is>
          <t>Entries by section</t>
        </is>
      </c>
    </row>
    <row r="18" ht="15" customHeight="1" s="18">
      <c r="B18" s="23" t="inlineStr">
        <is>
          <t>Section</t>
        </is>
      </c>
      <c r="C18" s="23" t="inlineStr">
        <is>
          <t>Description</t>
        </is>
      </c>
      <c r="D18" s="23" t="inlineStr">
        <is>
          <t>Count</t>
        </is>
      </c>
    </row>
    <row r="19" ht="15" customHeight="1" s="18">
      <c r="B19" s="24" t="inlineStr">
        <is>
          <t>Scholarship / Fellowship</t>
        </is>
      </c>
      <c r="C19" s="25" t="inlineStr">
        <is>
          <t>Government, trust and CSR scholarships and fellowships covered in this window.</t>
        </is>
      </c>
      <c r="D19" s="26">
        <f>COUNTIF(Log!B2:B300,"Scholarship / Fellowship")</f>
        <v/>
      </c>
    </row>
    <row r="20" ht="15" customHeight="1" s="18">
      <c r="B20" s="24" t="inlineStr">
        <is>
          <t>Internship</t>
        </is>
      </c>
      <c r="C20" s="25" t="inlineStr">
        <is>
          <t>Internship programmes covered in this window.</t>
        </is>
      </c>
      <c r="D20" s="26">
        <f>COUNTIF(Log!B2:B300,"Internship")</f>
        <v/>
      </c>
    </row>
    <row r="21" ht="15" customHeight="1" s="18">
      <c r="B21" s="24" t="inlineStr">
        <is>
          <t>Admission / Entrance Exam</t>
        </is>
      </c>
      <c r="C21" s="25" t="inlineStr">
        <is>
          <t>University/institute admissions and entrance exam notifications (CUET, GATE, CAT, CLAT, EAPCET etc.).</t>
        </is>
      </c>
      <c r="D21" s="26">
        <f>COUNTIF(Log!B2:B300,"Admission / Entrance Exam")</f>
        <v/>
      </c>
    </row>
    <row r="22"/>
    <row r="23" ht="15" customHeight="1" s="18">
      <c r="B23" s="27" t="inlineStr">
        <is>
          <t>Total entries</t>
        </is>
      </c>
      <c r="D23" s="28">
        <f>COUNTA(Log!A2:A300)</f>
        <v/>
      </c>
    </row>
  </sheetData>
  <mergeCells count="4">
    <mergeCell ref="B9:D10"/>
    <mergeCell ref="B7:D8"/>
    <mergeCell ref="B13:D14"/>
    <mergeCell ref="B11:D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5" customWidth="1" style="17" min="1" max="1"/>
    <col width="17" customWidth="1" style="17" min="2" max="2"/>
    <col width="40" customWidth="1" style="17" min="3" max="3"/>
    <col width="30" customWidth="1" style="17" min="4" max="4"/>
    <col width="38" customWidth="1" style="17" min="5" max="5"/>
    <col width="20" customWidth="1" style="17" min="6" max="6"/>
    <col width="10" customWidth="1" style="17" min="7" max="7"/>
    <col width="16" customWidth="1" style="17" min="8" max="8"/>
    <col width="12" customWidth="1" style="17" min="9" max="9"/>
    <col width="18" customWidth="1" style="17" min="10" max="10"/>
    <col width="26" customWidth="1" style="17" min="11" max="12"/>
    <col width="12" customWidth="1" style="17" min="13" max="13"/>
    <col width="13" customWidth="1" style="17" min="14" max="14"/>
    <col width="30" customWidth="1" style="17" min="15" max="15"/>
    <col width="34" customWidth="1" style="17" min="16" max="16"/>
    <col width="38" customWidth="1" style="17" min="17" max="17"/>
  </cols>
  <sheetData>
    <row r="1" ht="15" customHeight="1" s="18">
      <c r="A1" s="29" t="inlineStr">
        <is>
          <t>S.No</t>
        </is>
      </c>
      <c r="B1" s="29" t="inlineStr">
        <is>
          <t>Type</t>
        </is>
      </c>
      <c r="C1" s="29" t="inlineStr">
        <is>
          <t>Name</t>
        </is>
      </c>
      <c r="D1" s="29" t="inlineStr">
        <is>
          <t>Organiser</t>
        </is>
      </c>
      <c r="E1" s="29" t="inlineStr">
        <is>
          <t>For (Education Background)</t>
        </is>
      </c>
      <c r="F1" s="29" t="inlineStr">
        <is>
          <t>Caste / Community</t>
        </is>
      </c>
      <c r="G1" s="29" t="inlineStr">
        <is>
          <t>Gender</t>
        </is>
      </c>
      <c r="H1" s="29" t="inlineStr">
        <is>
          <t>Income Limit</t>
        </is>
      </c>
      <c r="I1" s="29" t="inlineStr">
        <is>
          <t>Age Limit</t>
        </is>
      </c>
      <c r="J1" s="29" t="inlineStr">
        <is>
          <t>Cycle</t>
        </is>
      </c>
      <c r="K1" s="29" t="inlineStr">
        <is>
          <t>Award / Stipend / Fees</t>
        </is>
      </c>
      <c r="L1" s="29" t="inlineStr">
        <is>
          <t>Deadline / Window</t>
        </is>
      </c>
      <c r="M1" s="29" t="inlineStr">
        <is>
          <t>Status</t>
        </is>
      </c>
      <c r="N1" s="29" t="inlineStr">
        <is>
          <t>Coverage Month</t>
        </is>
      </c>
      <c r="O1" s="29" t="inlineStr">
        <is>
          <t>Official Website</t>
        </is>
      </c>
      <c r="P1" s="29" t="inlineStr">
        <is>
          <t>Source(s)</t>
        </is>
      </c>
      <c r="Q1" s="29" t="inlineStr">
        <is>
          <t>Notes</t>
        </is>
      </c>
    </row>
    <row r="2" ht="15" customHeight="1" s="18">
      <c r="A2" s="25" t="n">
        <v>1</v>
      </c>
      <c r="B2" s="25" t="inlineStr">
        <is>
          <t>Internship</t>
        </is>
      </c>
      <c r="C2" s="25" t="inlineStr">
        <is>
          <t>Sahakar Mitra Internship Scheme (NCDC)</t>
        </is>
      </c>
      <c r="D2" s="25" t="inlineStr">
        <is>
          <t>National Cooperative Development Corporation (NCDC), Ministry of Cooperation</t>
        </is>
      </c>
      <c r="E2" s="25" t="inlineStr">
        <is>
          <t>Professional graduates (Agri, Dairy, Animal Husbandry, Veterinary, Fisheries, Horticulture, Textiles, IT) and MBA/M.Com holders; immersion in cooperatives and FPOs</t>
        </is>
      </c>
      <c r="F2" s="25" t="inlineStr">
        <is>
          <t>Open to all</t>
        </is>
      </c>
      <c r="G2" s="25" t="inlineStr">
        <is>
          <t>All</t>
        </is>
      </c>
      <c r="H2" s="25" t="inlineStr">
        <is>
          <t>Not stated</t>
        </is>
      </c>
      <c r="I2" s="25" t="inlineStr">
        <is>
          <t>Not stated</t>
        </is>
      </c>
      <c r="J2" s="25" t="inlineStr">
        <is>
          <t>Recurring internship rounds (rolling)</t>
        </is>
      </c>
      <c r="K2" s="25" t="inlineStr">
        <is>
          <t>Paid internship (stipend; amount not stated in CSC article)</t>
        </is>
      </c>
      <c r="L2" s="25" t="inlineStr">
        <is>
          <t>Rolling applications via NCDC</t>
        </is>
      </c>
      <c r="M2" s="30" t="inlineStr">
        <is>
          <t>Rolling</t>
        </is>
      </c>
      <c r="N2" s="25" t="inlineStr">
        <is>
          <t>2025-04</t>
        </is>
      </c>
      <c r="O2" s="25" t="inlineStr">
        <is>
          <t>ncdc.in</t>
        </is>
      </c>
      <c r="P2" s="25" t="inlineStr">
        <is>
          <t>https://www.chronicleindia.in/online-magazine/csce-april-2025/sahakar-mitra-internship-scheme-of-ncdc</t>
        </is>
      </c>
      <c r="Q2" s="25" t="inlineStr">
        <is>
          <t>Covered in CSC April 2025 online issue; scheme encourages start-up cooperatives and FPO leadership roles</t>
        </is>
      </c>
    </row>
    <row r="3" ht="15" customHeight="1" s="18">
      <c r="A3" s="25" t="n">
        <v>2</v>
      </c>
      <c r="B3" s="25" t="inlineStr">
        <is>
          <t>Internship</t>
        </is>
      </c>
      <c r="C3" s="25" t="inlineStr">
        <is>
          <t>Prime Minister Internship Scheme (PMIS) - mobile app launch and Round-2 applications</t>
        </is>
      </c>
      <c r="D3" s="25" t="inlineStr">
        <is>
          <t>Ministry of Corporate Affairs, Government of India</t>
        </is>
      </c>
      <c r="E3" s="25" t="inlineStr">
        <is>
          <t>Youth aged 21-24 not in full-time education or employment; paid internships in top 500 companies across 24 sectors</t>
        </is>
      </c>
      <c r="F3" s="25" t="inlineStr">
        <is>
          <t>Open to all</t>
        </is>
      </c>
      <c r="G3" s="25" t="inlineStr">
        <is>
          <t>All</t>
        </is>
      </c>
      <c r="H3" s="25" t="inlineStr">
        <is>
          <t>Not stated</t>
        </is>
      </c>
      <c r="I3" s="25" t="inlineStr">
        <is>
          <t>21-24 years</t>
        </is>
      </c>
      <c r="J3" s="25" t="inlineStr">
        <is>
          <t>Annual pilot rounds</t>
        </is>
      </c>
      <c r="K3" s="25" t="inlineStr">
        <is>
          <t>Rs 5,000 per month for 12 months plus one-time grant of Rs 6,000 (as stated in CSC coverage)</t>
        </is>
      </c>
      <c r="L3" s="25" t="inlineStr">
        <is>
          <t>Round-2 applications open until 31 March 2025 (app launched 17 March 2025)</t>
        </is>
      </c>
      <c r="M3" s="31" t="inlineStr">
        <is>
          <t>Closed</t>
        </is>
      </c>
      <c r="N3" s="25" t="inlineStr">
        <is>
          <t>2025-05;2025-12</t>
        </is>
      </c>
      <c r="O3" s="25" t="inlineStr">
        <is>
          <t>pminternship.mca.gov.in</t>
        </is>
      </c>
      <c r="P3" s="25" t="inlineStr">
        <is>
          <t>https://www.chronicleindia.in/online-magazine/csce-may-2025/mobile-app-for-pm-internship-scheme</t>
        </is>
      </c>
      <c r="Q3" s="25" t="inlineStr">
        <is>
          <t>CSC May 2025 issue covered the PMIS mobile app launch; December 2025 issue carried a full PMIS overview (15 Oct 2025 Finance Minister interaction with interns at Hampi) restating the 1-crore internships target</t>
        </is>
      </c>
    </row>
    <row r="4" ht="15" customHeight="1" s="18">
      <c r="A4" s="25" t="n">
        <v>3</v>
      </c>
      <c r="B4" s="25" t="inlineStr">
        <is>
          <t>Admission / Entrance Exam</t>
        </is>
      </c>
      <c r="C4" s="25" t="inlineStr">
        <is>
          <t>CBSE Draft Scheme for Two Examinations (Class X from 2026)</t>
        </is>
      </c>
      <c r="D4" s="25" t="inlineStr">
        <is>
          <t>Central Board of Secondary Education (CBSE)</t>
        </is>
      </c>
      <c r="E4" s="25" t="inlineStr">
        <is>
          <t>Class 10 CBSE students; optional second board exam attempt with best score counted; full current syllabus for both attempts</t>
        </is>
      </c>
      <c r="F4" s="25" t="inlineStr">
        <is>
          <t>Open to all</t>
        </is>
      </c>
      <c r="G4" s="25" t="inlineStr">
        <is>
          <t>All</t>
        </is>
      </c>
      <c r="H4" s="25" t="inlineStr">
        <is>
          <t>None</t>
        </is>
      </c>
      <c r="I4" s="25" t="inlineStr">
        <is>
          <t>School students (Class X)</t>
        </is>
      </c>
      <c r="J4" s="25" t="inlineStr">
        <is>
          <t>Annual; board exams to begin first Tuesday after 15 February each year</t>
        </is>
      </c>
      <c r="K4" s="25" t="inlineStr">
        <is>
          <t>Not applicable (exam reform; no fee or stipend)</t>
        </is>
      </c>
      <c r="L4" s="25" t="inlineStr">
        <is>
          <t>Draft scheme proposed 10 March 2025; first two-exam cycle from 2026</t>
        </is>
      </c>
      <c r="M4" s="30" t="inlineStr">
        <is>
          <t>Rolling</t>
        </is>
      </c>
      <c r="N4" s="25" t="inlineStr">
        <is>
          <t>2025-05</t>
        </is>
      </c>
      <c r="O4" s="25" t="inlineStr">
        <is>
          <t>cbse.gov.in</t>
        </is>
      </c>
      <c r="P4" s="25" t="inlineStr">
        <is>
          <t>https://www.chronicleindia.in/online-magazine/archive-csce-may-2025/cbse-draft-scheme-for-two-examinations</t>
        </is>
      </c>
      <c r="Q4" s="25" t="inlineStr">
        <is>
          <t>Exam-reform notification covered in CSC May 2025 issue; aligns with NEP 2020; status reflects recurring exam cycles now in effect</t>
        </is>
      </c>
    </row>
    <row r="5" ht="15" customHeight="1" s="18">
      <c r="A5" s="25" t="n">
        <v>4</v>
      </c>
      <c r="B5" s="25" t="inlineStr">
        <is>
          <t>Scholarship / Fellowship</t>
        </is>
      </c>
      <c r="C5" s="25" t="inlineStr">
        <is>
          <t>PM-USP Central Sector Scheme of Scholarship for College and University Students (CSSS) 2025-26</t>
        </is>
      </c>
      <c r="D5" s="25" t="inlineStr">
        <is>
          <t>CBSE with Department of Higher Education, Ministry of Education</t>
        </is>
      </c>
      <c r="E5" s="25" t="inlineStr">
        <is>
          <t>Meritorious Class 12 pass students (above 80th percentile of board) admitted to regular UG/PG college and university courses</t>
        </is>
      </c>
      <c r="F5" s="25" t="inlineStr">
        <is>
          <t>Open to all</t>
        </is>
      </c>
      <c r="G5" s="25" t="inlineStr">
        <is>
          <t>All</t>
        </is>
      </c>
      <c r="H5" s="25" t="inlineStr">
        <is>
          <t>Family income up to Rs 4.5 lakh per annum</t>
        </is>
      </c>
      <c r="I5" s="25" t="inlineStr">
        <is>
          <t>Not applicable (school to college transition)</t>
        </is>
      </c>
      <c r="J5" s="25" t="inlineStr">
        <is>
          <t>Annual; fresh plus renewal applications on National Scholarship Portal</t>
        </is>
      </c>
      <c r="K5" s="25" t="inlineStr">
        <is>
          <t>Rs 12,000 per annum at graduation level (first three years) and Rs 20,000 per annum at postgraduation level</t>
        </is>
      </c>
      <c r="L5" s="25" t="inlineStr">
        <is>
          <t>CBSE announced 27 June 2025 for AY 2025-26; NSP application deadline 31 October 2025</t>
        </is>
      </c>
      <c r="M5" s="31" t="inlineStr">
        <is>
          <t>Closed</t>
        </is>
      </c>
      <c r="N5" s="25" t="inlineStr">
        <is>
          <t>2025-08</t>
        </is>
      </c>
      <c r="O5" s="25" t="inlineStr">
        <is>
          <t>scholarships.gov.in</t>
        </is>
      </c>
      <c r="P5" s="25" t="inlineStr">
        <is>
          <t>https://www.chronicleindia.in/online-magazine/csce-august-2025/central-sector-scheme-of-scholarship-for-college-and-university-students</t>
        </is>
      </c>
      <c r="Q5" s="25" t="inlineStr">
        <is>
          <t>Covered in CSC August 2025 issue; amounts and income cap per CSSS guidelines and CBSE public notice</t>
        </is>
      </c>
    </row>
    <row r="6" ht="15" customHeight="1" s="18">
      <c r="A6" s="25" t="n">
        <v>5</v>
      </c>
      <c r="B6" s="25" t="inlineStr">
        <is>
          <t>Scholarship / Fellowship</t>
        </is>
      </c>
      <c r="C6" s="25" t="inlineStr">
        <is>
          <t>Bharat Ratna Shri Atal Bihari Vajpayee-Chevening Uttar Pradesh State Government Scholarship Scheme</t>
        </is>
      </c>
      <c r="D6" s="25" t="inlineStr">
        <is>
          <t>Government of Uttar Pradesh with UK Foreign, Commonwealth and Development Office (Chevening)</t>
        </is>
      </c>
      <c r="E6" s="25" t="inlineStr">
        <is>
          <t>Full scholarship for a one-year postgraduate (Master's) degree at any reputed UK university; 5 scholars per year; merit-based joint selection</t>
        </is>
      </c>
      <c r="F6" s="25" t="inlineStr">
        <is>
          <t>Open to UP domicile students</t>
        </is>
      </c>
      <c r="G6" s="25" t="inlineStr">
        <is>
          <t>All</t>
        </is>
      </c>
      <c r="H6" s="25" t="inlineStr">
        <is>
          <t>Not stated</t>
        </is>
      </c>
      <c r="I6" s="25" t="inlineStr">
        <is>
          <t>Not stated</t>
        </is>
      </c>
      <c r="J6" s="25" t="inlineStr">
        <is>
          <t>Annual from academic year 2025-26</t>
        </is>
      </c>
      <c r="K6" s="25" t="inlineStr">
        <is>
          <t>Full scholarship (tuition and associated costs) for one-year UK Master's</t>
        </is>
      </c>
      <c r="L6" s="25" t="inlineStr">
        <is>
          <t>Launched for AY 2025-26; follows the annual Chevening cycle (2025-26 cycle applications ran 5 August to 7 October per press reports)</t>
        </is>
      </c>
      <c r="M6" s="32" t="inlineStr">
        <is>
          <t>Open now</t>
        </is>
      </c>
      <c r="N6" s="25" t="inlineStr">
        <is>
          <t>2025-10</t>
        </is>
      </c>
      <c r="O6" s="25" t="inlineStr">
        <is>
          <t>chevening.org</t>
        </is>
      </c>
      <c r="P6" s="25" t="inlineStr">
        <is>
          <t>https://www.chronicleindia.in/online-magazine/csce-october-2025/bharat-ratna-shri-atal-bihari-vajpayee-ndash-chevening-uttar-pradesh-state-government-scholarship</t>
        </is>
      </c>
      <c r="Q6" s="25" t="inlineStr">
        <is>
          <t>Covered in CSC October 2025 issue (also indexed under State Watch); next Chevening cycle opens around August 2026</t>
        </is>
      </c>
    </row>
    <row r="7" ht="15" customHeight="1" s="18">
      <c r="A7" s="25" t="n">
        <v>6</v>
      </c>
      <c r="B7" s="25" t="inlineStr">
        <is>
          <t>Scholarship / Fellowship</t>
        </is>
      </c>
      <c r="C7" s="25" t="inlineStr">
        <is>
          <t>Adi Yuva Fellowship (under Adi Karmayogi Abhiyan)</t>
        </is>
      </c>
      <c r="D7" s="25" t="inlineStr">
        <is>
          <t>Ministry of Tribal Affairs in partnership with the United Nations in India</t>
        </is>
      </c>
      <c r="E7" s="25" t="inlineStr">
        <is>
          <t>Tribal youth; 12-month paid fellowship with structured learning, mentorship and career development</t>
        </is>
      </c>
      <c r="F7" s="25" t="inlineStr">
        <is>
          <t>Scheduled Tribes (tribal youth)</t>
        </is>
      </c>
      <c r="G7" s="25" t="inlineStr">
        <is>
          <t>All</t>
        </is>
      </c>
      <c r="H7" s="25" t="inlineStr">
        <is>
          <t>Not stated</t>
        </is>
      </c>
      <c r="I7" s="25" t="inlineStr">
        <is>
          <t>Not stated (youth focus)</t>
        </is>
      </c>
      <c r="J7" s="25" t="inlineStr">
        <is>
          <t>Cohort-based; launched 22 September 2025</t>
        </is>
      </c>
      <c r="K7" s="25" t="inlineStr">
        <is>
          <t>12-month paid fellowship (amount not stated in CSC article)</t>
        </is>
      </c>
      <c r="L7" s="25" t="inlineStr">
        <is>
          <t>Launched 22 September 2025; application rounds not stated</t>
        </is>
      </c>
      <c r="M7" s="33" t="inlineStr">
        <is>
          <t>Dates TBA</t>
        </is>
      </c>
      <c r="N7" s="25" t="inlineStr">
        <is>
          <t>2025-11</t>
        </is>
      </c>
      <c r="O7" s="25" t="inlineStr">
        <is>
          <t>tribal.nic.in</t>
        </is>
      </c>
      <c r="P7" s="25" t="inlineStr">
        <is>
          <t>https://www.chronicleindia.in/online-magazine/csce-november-2025/adi-yuva-fellowship-and-adi-karmayogi-volunteers-empowering-tribal-youth</t>
        </is>
      </c>
      <c r="Q7" s="25" t="inlineStr">
        <is>
          <t>Covered in CSC November 2025 issue; launched together with the Adi Karmayogi Volunteers Programme</t>
        </is>
      </c>
    </row>
    <row r="8" ht="15" customHeight="1" s="18">
      <c r="A8" s="25" t="n">
        <v>7</v>
      </c>
      <c r="B8" s="25" t="inlineStr">
        <is>
          <t>Scholarship / Fellowship</t>
        </is>
      </c>
      <c r="C8" s="25" t="inlineStr">
        <is>
          <t>National Means cum Merit Scholarship Scheme (NMMS) - state application forms released</t>
        </is>
      </c>
      <c r="D8" s="25" t="inlineStr">
        <is>
          <t>Ministry of Education (centrally sponsored); applications via State Councils of Educational Research and Training (SCERTs)</t>
        </is>
      </c>
      <c r="E8" s="25" t="inlineStr">
        <is>
          <t>Meritorious students of economically weaker sections studying in classes IX-XII in State Government, Government-aided and local body schools; selected via state-level NMMS exam after class VIII</t>
        </is>
      </c>
      <c r="F8" s="25" t="inlineStr">
        <is>
          <t>Open to all</t>
        </is>
      </c>
      <c r="G8" s="25" t="inlineStr">
        <is>
          <t>All</t>
        </is>
      </c>
      <c r="H8" s="25" t="inlineStr">
        <is>
          <t>Parental income up to Rs 3.5 lakh per annum (per scheme guidelines; earlier CSC coverage cites this enhancement)</t>
        </is>
      </c>
      <c r="I8" s="25" t="inlineStr">
        <is>
          <t>Class VIII students appearing for the state NMMS exam</t>
        </is>
      </c>
      <c r="J8" s="25" t="inlineStr">
        <is>
          <t>Annual state-wise cycle; exam typically held around October-December</t>
        </is>
      </c>
      <c r="K8" s="25" t="inlineStr">
        <is>
          <t>Rs 6,000 per annum (Rs 500 per month) as stated in CSC December 2025 article</t>
        </is>
      </c>
      <c r="L8" s="25" t="inlineStr">
        <is>
          <t>State-wise application windows announced by SCERTs (typically July-October); exam October-December</t>
        </is>
      </c>
      <c r="M8" s="32" t="inlineStr">
        <is>
          <t>Open now</t>
        </is>
      </c>
      <c r="N8" s="25" t="inlineStr">
        <is>
          <t>2025-12</t>
        </is>
      </c>
      <c r="O8" s="25" t="inlineStr">
        <is>
          <t>scholarships.gov.in</t>
        </is>
      </c>
      <c r="P8" s="25" t="inlineStr">
        <is>
          <t>https://www.chronicleindia.in/online-magazine/csce-december-2025/national-means-cum-merit-scholarship-scheme</t>
        </is>
      </c>
      <c r="Q8" s="25" t="inlineStr">
        <is>
          <t>Covered in CSC December 2025 issue; scholarship rate as printed in CSC (some other sources cite Rs 12,000 per annum after revision)</t>
        </is>
      </c>
    </row>
    <row r="9" ht="15" customHeight="1" s="18">
      <c r="A9" s="25" t="n">
        <v>8</v>
      </c>
      <c r="B9" s="25" t="inlineStr">
        <is>
          <t>Scholarship / Fellowship</t>
        </is>
      </c>
      <c r="C9" s="25" t="inlineStr">
        <is>
          <t>SPARK-4.0 Studentship Program for Ayurveda Research Ken (2025-26)</t>
        </is>
      </c>
      <c r="D9" s="25" t="inlineStr">
        <is>
          <t>Central Council for Research in Ayurvedic Sciences (CCRAS), Ministry of Ayush</t>
        </is>
      </c>
      <c r="E9" s="25" t="inlineStr">
        <is>
          <t>Undergraduate BAMS students of colleges recognised by the National Commission for Indian System of Medicine (NCISM)</t>
        </is>
      </c>
      <c r="F9" s="25" t="inlineStr">
        <is>
          <t>Open to all</t>
        </is>
      </c>
      <c r="G9" s="25" t="inlineStr">
        <is>
          <t>All</t>
        </is>
      </c>
      <c r="H9" s="25" t="inlineStr">
        <is>
          <t>None</t>
        </is>
      </c>
      <c r="I9" s="25" t="inlineStr">
        <is>
          <t>None</t>
        </is>
      </c>
      <c r="J9" s="25" t="inlineStr">
        <is>
          <t>Annual (fourth edition)</t>
        </is>
      </c>
      <c r="K9" s="25" t="inlineStr">
        <is>
          <t>Rs 50,000 studentship per student (Rs 25,000 per month over two months); 300 students selected</t>
        </is>
      </c>
      <c r="L9" s="25" t="inlineStr">
        <is>
          <t>Registration window 15 October to 15 November 2025</t>
        </is>
      </c>
      <c r="M9" s="31" t="inlineStr">
        <is>
          <t>Closed</t>
        </is>
      </c>
      <c r="N9" s="25" t="inlineStr">
        <is>
          <t>2025-12</t>
        </is>
      </c>
      <c r="O9" s="25" t="inlineStr">
        <is>
          <t>ccras.nic.in</t>
        </is>
      </c>
      <c r="P9" s="25" t="inlineStr">
        <is>
          <t>https://www.chronicleindia.in/online-magazine/csce-december-2025/spark-4-0-nurturing-young-ayurveda-researchers-nationwide</t>
        </is>
      </c>
      <c r="Q9" s="25" t="inlineStr">
        <is>
          <t>Covered in CSC December 2025 issue (India Watch); announced 10 October 2025; also carried on CSC website current affairs</t>
        </is>
      </c>
    </row>
    <row r="10" ht="15" customHeight="1" s="18">
      <c r="A10" s="25" t="n">
        <v>9</v>
      </c>
      <c r="B10" s="25" t="inlineStr">
        <is>
          <t>Scholarship / Fellowship</t>
        </is>
      </c>
      <c r="C10" s="25" t="inlineStr">
        <is>
          <t>Top Class Scholarship Scheme for SC Students - revised guidelines</t>
        </is>
      </c>
      <c r="D10" s="25" t="inlineStr">
        <is>
          <t>Ministry of Social Justice and Empowerment, Government of India</t>
        </is>
      </c>
      <c r="E10" s="25" t="inlineStr">
        <is>
          <t>SC students securing admission in notified institutions (IITs, IIMs, AIIMS, NITs, National Law Universities, NIFT, NID, IHMs)</t>
        </is>
      </c>
      <c r="F10" s="25" t="inlineStr">
        <is>
          <t>Scheduled Castes</t>
        </is>
      </c>
      <c r="G10" s="25" t="inlineStr">
        <is>
          <t>All</t>
        </is>
      </c>
      <c r="H10" s="25" t="inlineStr">
        <is>
          <t>Family income up to Rs 8 lakh per annum</t>
        </is>
      </c>
      <c r="I10" s="25" t="inlineStr">
        <is>
          <t>Not stated</t>
        </is>
      </c>
      <c r="J10" s="25" t="inlineStr">
        <is>
          <t>Annual; National Scholarship Portal cycle</t>
        </is>
      </c>
      <c r="K10" s="25" t="inlineStr">
        <is>
          <t>Full tuition fee coverage plus academic allowances</t>
        </is>
      </c>
      <c r="L10" s="25" t="inlineStr">
        <is>
          <t>Revised guidelines issued 26 November 2025; NSP application windows apply</t>
        </is>
      </c>
      <c r="M10" s="32" t="inlineStr">
        <is>
          <t>Open now</t>
        </is>
      </c>
      <c r="N10" s="25" t="inlineStr">
        <is>
          <t>2026-01</t>
        </is>
      </c>
      <c r="O10" s="25" t="inlineStr">
        <is>
          <t>scholarships.gov.in</t>
        </is>
      </c>
      <c r="P10" s="25" t="inlineStr">
        <is>
          <t>https://www.chronicleindia.in/online-magazine/csce-january-2026/revised-guidelines-for-top-class-scholarship-scheme-for-sc-students</t>
        </is>
      </c>
      <c r="Q10" s="25" t="inlineStr">
        <is>
          <t>Covered in CSC January 2026 issue; revision expands financial support and tightens institutional accountability</t>
        </is>
      </c>
    </row>
    <row r="11" ht="15" customHeight="1" s="18">
      <c r="A11" s="25" t="n">
        <v>10</v>
      </c>
      <c r="B11" s="25" t="inlineStr">
        <is>
          <t>Internship</t>
        </is>
      </c>
      <c r="C11" s="25" t="inlineStr">
        <is>
          <t>Comprehensive Internship Policy of Ministry of Youth Affairs and Sports</t>
        </is>
      </c>
      <c r="D11" s="25" t="inlineStr">
        <is>
          <t>Ministry of Youth Affairs and Sports with Sports Authority of India, NADA and National Dope Testing Laboratory</t>
        </is>
      </c>
      <c r="E11" s="25" t="inlineStr">
        <is>
          <t>452 internships annually across MYAS and its autonomous bodies; more than 20 functional domains including sports management, sports science, event operations, communications, IT, legal affairs</t>
        </is>
      </c>
      <c r="F11" s="25" t="inlineStr">
        <is>
          <t>Open to all</t>
        </is>
      </c>
      <c r="G11" s="25" t="inlineStr">
        <is>
          <t>All</t>
        </is>
      </c>
      <c r="H11" s="25" t="inlineStr">
        <is>
          <t>Not stated</t>
        </is>
      </c>
      <c r="I11" s="25" t="inlineStr">
        <is>
          <t>Not stated</t>
        </is>
      </c>
      <c r="J11" s="25" t="inlineStr">
        <is>
          <t>Annual (policy-based; launched 23 December 2025)</t>
        </is>
      </c>
      <c r="K11" s="25" t="inlineStr">
        <is>
          <t>Internship support (stipend terms per policy; not stated in CSC excerpt)</t>
        </is>
      </c>
      <c r="L11" s="25" t="inlineStr">
        <is>
          <t>Policy launched 23 December 2025; annual internship cycles</t>
        </is>
      </c>
      <c r="M11" s="30" t="inlineStr">
        <is>
          <t>Rolling</t>
        </is>
      </c>
      <c r="N11" s="25" t="inlineStr">
        <is>
          <t>2026-02</t>
        </is>
      </c>
      <c r="O11" s="25" t="inlineStr">
        <is>
          <t>yas.gov.in</t>
        </is>
      </c>
      <c r="P11" s="25" t="inlineStr">
        <is>
          <t>https://www.chronicleindia.in/online-magazine/csce-february-2026/comprehensive-internship-policy</t>
        </is>
      </c>
      <c r="Q11" s="25" t="inlineStr">
        <is>
          <t>Covered in CSC February 2026 issue</t>
        </is>
      </c>
    </row>
    <row r="12" ht="15" customHeight="1" s="18">
      <c r="A12" s="25" t="n">
        <v>11</v>
      </c>
      <c r="B12" s="25" t="inlineStr">
        <is>
          <t>Scholarship / Fellowship</t>
        </is>
      </c>
      <c r="C12" s="25" t="inlineStr">
        <is>
          <t>India-Netherlands Hydrogen Fellowship Programme</t>
        </is>
      </c>
      <c r="D12" s="25" t="inlineStr">
        <is>
          <t>Department of Science and Technology with the Government of the Netherlands</t>
        </is>
      </c>
      <c r="E12" s="25" t="inlineStr">
        <is>
          <t>Doctoral, postdoctoral and faculty applicants from Indian institutions; structured training in the Netherlands on hydrogen systems, safety, techno-economic analysis and life-cycle assessment</t>
        </is>
      </c>
      <c r="F12" s="25" t="inlineStr">
        <is>
          <t>Open to all</t>
        </is>
      </c>
      <c r="G12" s="25" t="inlineStr">
        <is>
          <t>All</t>
        </is>
      </c>
      <c r="H12" s="25" t="inlineStr">
        <is>
          <t>None</t>
        </is>
      </c>
      <c r="I12" s="25" t="inlineStr">
        <is>
          <t>Not stated</t>
        </is>
      </c>
      <c r="J12" s="25" t="inlineStr">
        <is>
          <t>Newly launched; cohort details awaited</t>
        </is>
      </c>
      <c r="K12" s="25" t="inlineStr">
        <is>
          <t>Fellowship (amount not stated in CSC item)</t>
        </is>
      </c>
      <c r="L12" s="25" t="inlineStr">
        <is>
          <t>Launched 6 February 2026; application details to be announced</t>
        </is>
      </c>
      <c r="M12" s="33" t="inlineStr">
        <is>
          <t>Dates TBA</t>
        </is>
      </c>
      <c r="N12" s="25" t="inlineStr">
        <is>
          <t>2026-04</t>
        </is>
      </c>
      <c r="O12" s="25" t="inlineStr">
        <is>
          <t>dst.gov.in</t>
        </is>
      </c>
      <c r="P12" s="25" t="inlineStr">
        <is>
          <t>https://www.chronicleindia.in/current-affairs/15770-india-netherlands-launch-hydrogen-fellowship-programme</t>
        </is>
      </c>
      <c r="Q12" s="25" t="inlineStr">
        <is>
          <t>Covered on CSC website current affairs (9 February 2026) and in the CSC April 2026 issue (Netherlands country profile); paired with University of Groningen-IITs MoU covering 19 IITs</t>
        </is>
      </c>
    </row>
    <row r="13" ht="15" customHeight="1" s="18">
      <c r="A13" s="25" t="n">
        <v>12</v>
      </c>
      <c r="B13" s="25" t="inlineStr">
        <is>
          <t>Internship</t>
        </is>
      </c>
      <c r="C13" s="25" t="inlineStr">
        <is>
          <t>Prime Minister Internship Scheme (PMIS) - eligibility expanded to final-year students</t>
        </is>
      </c>
      <c r="D13" s="25" t="inlineStr">
        <is>
          <t>Ministry of Corporate Affairs, Government of India</t>
        </is>
      </c>
      <c r="E13" s="25" t="inlineStr">
        <is>
          <t>Final-year undergraduate and postgraduate students (with institution NOC) added to existing eligible groups; paid internships in 300-plus companies</t>
        </is>
      </c>
      <c r="F13" s="25" t="inlineStr">
        <is>
          <t>Open to all</t>
        </is>
      </c>
      <c r="G13" s="25" t="inlineStr">
        <is>
          <t>All</t>
        </is>
      </c>
      <c r="H13" s="25" t="inlineStr">
        <is>
          <t>Not stated</t>
        </is>
      </c>
      <c r="I13" s="25" t="inlineStr">
        <is>
          <t>18-25 years (per CSC web item); base scheme 21-24 years</t>
        </is>
      </c>
      <c r="J13" s="25" t="inlineStr">
        <is>
          <t>Pilot phase rounds; third round ongoing as of April 2026</t>
        </is>
      </c>
      <c r="K13" s="25" t="inlineStr">
        <is>
          <t>Minimum stipend Rs 9,000 per month (per CSC April 2026 web item; earlier rounds Rs 5,000 per month with Rs 6,000 one-time grant)</t>
        </is>
      </c>
      <c r="L13" s="25" t="inlineStr">
        <is>
          <t>Expansion announced 22 April 2026; applications via PMIS portal in rounds</t>
        </is>
      </c>
      <c r="M13" s="32" t="inlineStr">
        <is>
          <t>Open now</t>
        </is>
      </c>
      <c r="N13" s="25" t="inlineStr">
        <is>
          <t>2026-03;2026-06</t>
        </is>
      </c>
      <c r="O13" s="25" t="inlineStr">
        <is>
          <t>pminternship.mca.gov.in</t>
        </is>
      </c>
      <c r="P13" s="25" t="inlineStr">
        <is>
          <t>https://www.chronicleindia.in/online-magazine/csce-june-2026/mca-expands-eligibility-criteria-of-the-prime-minister-internship-scheme</t>
        </is>
      </c>
      <c r="Q13" s="25" t="inlineStr">
        <is>
          <t>CSC June 2026 issue covered the expansion; March 2026 issue carried PMIS fund underutilisation data; CSC website item 23 April 2026; Hindi CSC edition July 2026 carried PMIS 2026 guidelines (6-9 month internships, age 18-25)</t>
        </is>
      </c>
    </row>
    <row r="14" ht="15" customHeight="1" s="18">
      <c r="A14" s="25" t="n">
        <v>13</v>
      </c>
      <c r="B14" s="25" t="inlineStr">
        <is>
          <t>Scholarship / Fellowship</t>
        </is>
      </c>
      <c r="C14" s="25" t="inlineStr">
        <is>
          <t>Project Udaan - free coaching and education support (Patna Nagar Nigam)</t>
        </is>
      </c>
      <c r="D14" s="25" t="inlineStr">
        <is>
          <t>Patna Municipal Corporation (Patna Nagar Nigam) with CSR partners</t>
        </is>
      </c>
      <c r="E14" s="25" t="inlineStr">
        <is>
          <t>Children of sanitation workers employed under the municipal corporation; free coaching for UPSC, BPSC, JEE and NEET; full financial assistance for education and related expenses</t>
        </is>
      </c>
      <c r="F14" s="25" t="inlineStr">
        <is>
          <t>Open to children of municipal sanitation workers</t>
        </is>
      </c>
      <c r="G14" s="25" t="inlineStr">
        <is>
          <t>All</t>
        </is>
      </c>
      <c r="H14" s="25" t="inlineStr">
        <is>
          <t>Economically weaker focus (sanitation workers' families)</t>
        </is>
      </c>
      <c r="I14" s="25" t="inlineStr">
        <is>
          <t>Not stated</t>
        </is>
      </c>
      <c r="J14" s="25" t="inlineStr">
        <is>
          <t>Selection via preliminary examination and final merit list</t>
        </is>
      </c>
      <c r="K14" s="25" t="inlineStr">
        <is>
          <t>Full financial assistance for education and related expenses through CSR partnerships</t>
        </is>
      </c>
      <c r="L14" s="25" t="inlineStr">
        <is>
          <t>Launched April 2026; application schedule not stated</t>
        </is>
      </c>
      <c r="M14" s="33" t="inlineStr">
        <is>
          <t>Dates TBA</t>
        </is>
      </c>
      <c r="N14" s="25" t="inlineStr">
        <is>
          <t>2026-06</t>
        </is>
      </c>
      <c r="O14" s="25" t="inlineStr">
        <is>
          <t>Not stated in coverage</t>
        </is>
      </c>
      <c r="P14" s="25" t="inlineStr">
        <is>
          <t>https://www.chronicleindia.in/online-magazine/csce-june-2026/project-udaan</t>
        </is>
      </c>
      <c r="Q14" s="25" t="inlineStr">
        <is>
          <t>Covered in CSC June 2026 issue; coaching-support scholarship for competitive exams</t>
        </is>
      </c>
    </row>
    <row r="15" ht="15" customHeight="1" s="18">
      <c r="A15" s="25" t="n">
        <v>14</v>
      </c>
      <c r="B15" s="25" t="inlineStr">
        <is>
          <t>Scholarship / Fellowship</t>
        </is>
      </c>
      <c r="C15" s="25" t="inlineStr">
        <is>
          <t>Post-Matric Scholarship Scheme for SC Students (Punjab) 2026-27 via National Scholarship Portal</t>
        </is>
      </c>
      <c r="D15" s="25" t="inlineStr">
        <is>
          <t>Government of Punjab (applications through National Scholarship Portal)</t>
        </is>
      </c>
      <c r="E15" s="25" t="inlineStr">
        <is>
          <t>SC students pursuing higher education in Punjab for the 2026-27 academic session</t>
        </is>
      </c>
      <c r="F15" s="25" t="inlineStr">
        <is>
          <t>Scheduled Castes</t>
        </is>
      </c>
      <c r="G15" s="25" t="inlineStr">
        <is>
          <t>All</t>
        </is>
      </c>
      <c r="H15" s="25" t="inlineStr">
        <is>
          <t>Not stated in CSC article</t>
        </is>
      </c>
      <c r="I15" s="25" t="inlineStr">
        <is>
          <t>Not stated</t>
        </is>
      </c>
      <c r="J15" s="25" t="inlineStr">
        <is>
          <t>Annual state cycle</t>
        </is>
      </c>
      <c r="K15" s="25" t="inlineStr">
        <is>
          <t>Financial assistance for higher education (course-related support per state scheme)</t>
        </is>
      </c>
      <c r="L15" s="25" t="inlineStr">
        <is>
          <t>Applications accepted from 1 July 2026; last date 15 November 2026; correction of defective applications till 30 November 2026</t>
        </is>
      </c>
      <c r="M15" s="32" t="inlineStr">
        <is>
          <t>Open now</t>
        </is>
      </c>
      <c r="N15" s="25" t="inlineStr">
        <is>
          <t>2026-09</t>
        </is>
      </c>
      <c r="O15" s="25" t="inlineStr">
        <is>
          <t>scholarships.gov.in</t>
        </is>
      </c>
      <c r="P15" s="25" t="inlineStr">
        <is>
          <t>https://www.chronicleindia.in/online-magazine/csce-september-2026/post-matric-scholarship-scheme-for-sc-students</t>
        </is>
      </c>
      <c r="Q15" s="25" t="inlineStr">
        <is>
          <t>Covered in CSC September 2026 issue; launched 5 July 2026; also carried on CSC website current affairs (7 July 2026)</t>
        </is>
      </c>
    </row>
    <row r="16" ht="15" customHeight="1" s="18">
      <c r="A16" s="25" t="n">
        <v>15</v>
      </c>
      <c r="B16" s="25" t="inlineStr">
        <is>
          <t>Internship</t>
        </is>
      </c>
      <c r="C16" s="25" t="inlineStr">
        <is>
          <t>PM-NAPS Special Intervention for Promotion of Apprenticeship in North-Eastern Region (FY 2026-27)</t>
        </is>
      </c>
      <c r="D16" s="25" t="inlineStr">
        <is>
          <t>Ministry of Skill Development and Entrepreneurship; implemented by Indian Institute of Entrepreneurship (IIE), Guwahati</t>
        </is>
      </c>
      <c r="E16" s="25" t="inlineStr">
        <is>
          <t>Apprentices across all eight North-Eastern States; target raised to 30,000 apprentices (about 15 percent above pilot); 15,000 to train outside the North-East including Central Government departments and PSUs</t>
        </is>
      </c>
      <c r="F16" s="25" t="inlineStr">
        <is>
          <t>Open to all</t>
        </is>
      </c>
      <c r="G16" s="25" t="inlineStr">
        <is>
          <t>All</t>
        </is>
      </c>
      <c r="H16" s="25" t="inlineStr">
        <is>
          <t>Not stated</t>
        </is>
      </c>
      <c r="I16" s="25" t="inlineStr">
        <is>
          <t>As per apprenticeship norms</t>
        </is>
      </c>
      <c r="J16" s="25" t="inlineStr">
        <is>
          <t>Annual (FY 2026-27 extension)</t>
        </is>
      </c>
      <c r="K16" s="25" t="inlineStr">
        <is>
          <t>Apprenticeship with government stipend support per PM-NAPS norms (details not stated in CSC excerpt)</t>
        </is>
      </c>
      <c r="L16" s="25" t="inlineStr">
        <is>
          <t>Extended 17 July 2026 for FY 2026-27</t>
        </is>
      </c>
      <c r="M16" s="32" t="inlineStr">
        <is>
          <t>Open now</t>
        </is>
      </c>
      <c r="N16" s="25" t="inlineStr">
        <is>
          <t>2026-09</t>
        </is>
      </c>
      <c r="O16" s="25" t="inlineStr">
        <is>
          <t>apprenticeshipindia.gov.in</t>
        </is>
      </c>
      <c r="P16" s="25" t="inlineStr">
        <is>
          <t>https://www.chronicleindia.in/online-magazine/archive-csce-september-2026/pm-naps-extended-for-north-eastern-region</t>
        </is>
      </c>
      <c r="Q16" s="25" t="inlineStr">
        <is>
          <t>Covered in CSC September 2026 issue; apprenticeship scheme (internship-adjacent), included for completeness</t>
        </is>
      </c>
    </row>
    <row r="17" ht="15" customHeight="1" s="18">
      <c r="A17" s="25" t="n">
        <v>16</v>
      </c>
      <c r="B17" s="25" t="inlineStr">
        <is>
          <t>Admission / Entrance Exam</t>
        </is>
      </c>
      <c r="C17" s="25" t="inlineStr">
        <is>
          <t>AIIA Garbhini Mitra Course for 2026-27 academic session</t>
        </is>
      </c>
      <c r="D17" s="25" t="inlineStr">
        <is>
          <t>All India Institute of Ayurveda (AIIA), New Delhi</t>
        </is>
      </c>
      <c r="E17" s="25" t="inlineStr">
        <is>
          <t>Six-month offline course training personnel in pregnancy and postnatal health support (Ayurvedic Garbhini Paricharya, Sutika Paricharya, Garbhadhana Vidhi); batches of maximum 20 students at AIIA campus, Sarita Vihar, New Delhi</t>
        </is>
      </c>
      <c r="F17" s="25" t="inlineStr">
        <is>
          <t>Open to all</t>
        </is>
      </c>
      <c r="G17" s="25" t="inlineStr">
        <is>
          <t>All</t>
        </is>
      </c>
      <c r="H17" s="25" t="inlineStr">
        <is>
          <t>None</t>
        </is>
      </c>
      <c r="I17" s="25" t="inlineStr">
        <is>
          <t>Minimum 18 years; Class 12 pass</t>
        </is>
      </c>
      <c r="J17" s="25" t="inlineStr">
        <is>
          <t>Annual (2026-27 session)</t>
        </is>
      </c>
      <c r="K17" s="25" t="inlineStr">
        <is>
          <t>Course fee not stated in CSC item</t>
        </is>
      </c>
      <c r="L17" s="25" t="inlineStr">
        <is>
          <t>Launched for 2026-27 academic session (announced late August 2026); application deadline not stated</t>
        </is>
      </c>
      <c r="M17" s="32" t="inlineStr">
        <is>
          <t>Open now</t>
        </is>
      </c>
      <c r="N17" s="25" t="inlineStr">
        <is>
          <t>2026-08</t>
        </is>
      </c>
      <c r="O17" s="25" t="inlineStr">
        <is>
          <t>aiia.gov.in</t>
        </is>
      </c>
      <c r="P17" s="25" t="inlineStr">
        <is>
          <t>https://www.chronicleindia.in/current-affairs/17835-aiia-launches-garbhini-mitra-course</t>
        </is>
      </c>
      <c r="Q17" s="25" t="inlineStr">
        <is>
          <t>CSC website current affairs (25 August 2026); not verified in a print issue within the window</t>
        </is>
      </c>
    </row>
    <row r="18" ht="15" customHeight="1" s="18">
      <c r="A18" s="25" t="n">
        <v>17</v>
      </c>
      <c r="B18" s="25" t="inlineStr">
        <is>
          <t>Scholarship / Fellowship</t>
        </is>
      </c>
      <c r="C18" s="25" t="inlineStr">
        <is>
          <t>SHAKTI Scholars - NCW Young Research Fellowship</t>
        </is>
      </c>
      <c r="D18" s="25" t="inlineStr">
        <is>
          <t>National Commission for Women (NCW)</t>
        </is>
      </c>
      <c r="E18" s="25" t="inlineStr">
        <is>
          <t>Students and young researchers for policy-oriented research on women-related issues (safety, gender-based violence, legal rights, cyber safety, POSH, leadership); research grant released in phases</t>
        </is>
      </c>
      <c r="F18" s="25" t="inlineStr">
        <is>
          <t>Open to all</t>
        </is>
      </c>
      <c r="G18" s="25" t="inlineStr">
        <is>
          <t>Women</t>
        </is>
      </c>
      <c r="H18" s="25" t="inlineStr">
        <is>
          <t>None</t>
        </is>
      </c>
      <c r="I18" s="25" t="inlineStr">
        <is>
          <t>21-30 years</t>
        </is>
      </c>
      <c r="J18" s="25" t="inlineStr">
        <is>
          <t>Cohort-based; six-month fellowship</t>
        </is>
      </c>
      <c r="K18" s="25" t="inlineStr">
        <is>
          <t>Research grant of Rs 1 lakh for six months</t>
        </is>
      </c>
      <c r="L18" s="25" t="inlineStr">
        <is>
          <t>Launched 22 December 2025; application window not stated in CSC item</t>
        </is>
      </c>
      <c r="M18" s="33" t="inlineStr">
        <is>
          <t>Dates TBA</t>
        </is>
      </c>
      <c r="N18" s="25" t="inlineStr">
        <is>
          <t>2025-12</t>
        </is>
      </c>
      <c r="O18" s="25" t="inlineStr">
        <is>
          <t>ncw.nic.in</t>
        </is>
      </c>
      <c r="P18" s="25" t="inlineStr">
        <is>
          <t>https://www.chronicleindia.in/current-affairs/15410-ncw-launches-shakti-scholars</t>
        </is>
      </c>
      <c r="Q18" s="25" t="inlineStr">
        <is>
          <t>CSC website current affairs (23 December 2025); not verified in a print issue within the window</t>
        </is>
      </c>
    </row>
    <row r="19" ht="15" customHeight="1" s="18">
      <c r="A19" s="25" t="n">
        <v>18</v>
      </c>
      <c r="B19" s="25" t="inlineStr">
        <is>
          <t>Scholarship / Fellowship</t>
        </is>
      </c>
      <c r="C19" s="25" t="inlineStr">
        <is>
          <t>Free Online Coaching for SC, OBC and PM CARES aspirants (MoSJE MoU)</t>
        </is>
      </c>
      <c r="D19" s="25" t="inlineStr">
        <is>
          <t>Ministry of Social Justice and Empowerment with a private online educational institute</t>
        </is>
      </c>
      <c r="E19" s="25" t="inlineStr">
        <is>
          <t>15,000 aspirants from Scheduled Castes, Other Backward Classes and PM CARES Children Scheme; free digital coaching for UPSC, SSC and Banking exams with live and recorded lectures plus test series</t>
        </is>
      </c>
      <c r="F19" s="25" t="inlineStr">
        <is>
          <t>SC, OBC, PM CARES beneficiaries</t>
        </is>
      </c>
      <c r="G19" s="25" t="inlineStr">
        <is>
          <t>All</t>
        </is>
      </c>
      <c r="H19" s="25" t="inlineStr">
        <is>
          <t>Not stated</t>
        </is>
      </c>
      <c r="I19" s="25" t="inlineStr">
        <is>
          <t>Not stated</t>
        </is>
      </c>
      <c r="J19" s="25" t="inlineStr">
        <is>
          <t>One-time MoU-based programme (15,000 seats)</t>
        </is>
      </c>
      <c r="K19" s="25" t="inlineStr">
        <is>
          <t>Free coaching (no fee to beneficiaries)</t>
        </is>
      </c>
      <c r="L19" s="25" t="inlineStr">
        <is>
          <t>MoU signed 7 November 2025; enrolment schedule not stated</t>
        </is>
      </c>
      <c r="M19" s="33" t="inlineStr">
        <is>
          <t>Dates TBA</t>
        </is>
      </c>
      <c r="N19" s="25" t="inlineStr">
        <is>
          <t>2025-11</t>
        </is>
      </c>
      <c r="O19" s="25" t="inlineStr">
        <is>
          <t>socialjustice.gov.in</t>
        </is>
      </c>
      <c r="P19" s="25" t="inlineStr">
        <is>
          <t>https://www.chronicleindia.in/current-affairs/15177-free-online-coaching-for-marginalized-aspirants</t>
        </is>
      </c>
      <c r="Q19" s="25" t="inlineStr">
        <is>
          <t>CSC website current affairs (8 November 2025); coaching-support scholarship; not verified in a print issue within the window</t>
        </is>
      </c>
    </row>
    <row r="20" ht="15" customHeight="1" s="18">
      <c r="A20" s="25" t="n">
        <v>19</v>
      </c>
      <c r="B20" s="25" t="inlineStr">
        <is>
          <t>Scholarship / Fellowship</t>
        </is>
      </c>
      <c r="C20" s="25" t="inlineStr">
        <is>
          <t>Pre-Matric and Post-Matric Scholarships for SCs and OBCs - domicile requirement removed and SETU portal launched</t>
        </is>
      </c>
      <c r="D20" s="25" t="inlineStr">
        <is>
          <t>Department of Social Justice and Empowerment, Government of India</t>
        </is>
      </c>
      <c r="E20" s="25" t="inlineStr">
        <is>
          <t>Pre-matric and post-matric students of SC and OBC categories (about 1.2 crore beneficiaries annually); single-window SETU portal on UMANG for application, tracking and validation</t>
        </is>
      </c>
      <c r="F20" s="25" t="inlineStr">
        <is>
          <t>SC, OBC</t>
        </is>
      </c>
      <c r="G20" s="25" t="inlineStr">
        <is>
          <t>All</t>
        </is>
      </c>
      <c r="H20" s="25" t="inlineStr">
        <is>
          <t>Not stated</t>
        </is>
      </c>
      <c r="I20" s="25" t="inlineStr">
        <is>
          <t>Not stated</t>
        </is>
      </c>
      <c r="J20" s="25" t="inlineStr">
        <is>
          <t>Annual scholarship cycles (pre-matric and post-matric)</t>
        </is>
      </c>
      <c r="K20" s="25" t="inlineStr">
        <is>
          <t>Scholarship benefits per respective schemes; SETU enables registration, tracking and validation</t>
        </is>
      </c>
      <c r="L20" s="25" t="inlineStr">
        <is>
          <t>Reform announced 19 June 2026; annual NSP cycles apply</t>
        </is>
      </c>
      <c r="M20" s="32" t="inlineStr">
        <is>
          <t>Open now</t>
        </is>
      </c>
      <c r="N20" s="25" t="inlineStr">
        <is>
          <t>2026-06</t>
        </is>
      </c>
      <c r="O20" s="25" t="inlineStr">
        <is>
          <t>scholarships.gov.in</t>
        </is>
      </c>
      <c r="P20" s="25" t="inlineStr">
        <is>
          <t>https://www.chronicleindia.in/current-affairs/17191-centre-eases-scholarship-access-for-sc-and-obc-students</t>
        </is>
      </c>
      <c r="Q20" s="25" t="inlineStr">
        <is>
          <t>CSC website current affairs (20 June 2026); process reform for existing scholarship schemes rather than a new scheme; not verified in a print issue within the window</t>
        </is>
      </c>
    </row>
    <row r="21" ht="15" customHeight="1" s="18">
      <c r="A21" s="25" t="n">
        <v>20</v>
      </c>
      <c r="B21" s="25" t="inlineStr">
        <is>
          <t>Admission / Entrance Exam</t>
        </is>
      </c>
      <c r="C21" s="25" t="inlineStr">
        <is>
          <t>NEET-UG 2026 (National Eligibility cum Entrance Test - Undergraduate)</t>
        </is>
      </c>
      <c r="D21" s="25" t="inlineStr">
        <is>
          <t>National Testing Agency (NTA)</t>
        </is>
      </c>
      <c r="E21" s="25" t="inlineStr">
        <is>
          <t>National medical entrance examination for undergraduate medical admissions; 2026 edition cancelled after a leaked guess paper circulated on WhatsApp, affecting about 2.3 million students</t>
        </is>
      </c>
      <c r="F21" s="25" t="inlineStr">
        <is>
          <t>Open to all</t>
        </is>
      </c>
      <c r="G21" s="25" t="inlineStr">
        <is>
          <t>All</t>
        </is>
      </c>
      <c r="H21" s="25" t="inlineStr">
        <is>
          <t>None</t>
        </is>
      </c>
      <c r="I21" s="25" t="inlineStr">
        <is>
          <t>Per NEET-UG norms</t>
        </is>
      </c>
      <c r="J21" s="25" t="inlineStr">
        <is>
          <t>Annual (exam typically held around May)</t>
        </is>
      </c>
      <c r="K21" s="25" t="inlineStr">
        <is>
          <t>Not applicable (entrance examination)</t>
        </is>
      </c>
      <c r="L21" s="25" t="inlineStr">
        <is>
          <t>2026 edition cancelled; examination reforms taken up via the Nandan Nilekani-led High-Powered Task Force (26 July 2026) and fast-track courts</t>
        </is>
      </c>
      <c r="M21" s="31" t="inlineStr">
        <is>
          <t>Closed</t>
        </is>
      </c>
      <c r="N21" s="25" t="inlineStr">
        <is>
          <t>2026-07;2026-09</t>
        </is>
      </c>
      <c r="O21" s="25" t="inlineStr">
        <is>
          <t>nta.ac.in</t>
        </is>
      </c>
      <c r="P21" s="25" t="inlineStr">
        <is>
          <t>https://www.chronicleindia.in/online-magazine/csce-july-2026/conduct-of-competitive-exams-in-india-issues-challenges-and-reforms</t>
        </is>
      </c>
      <c r="Q21" s="25" t="inlineStr">
        <is>
          <t>Included per research instruction for well-known items within CSC coverage: CSC July 2026 issue covered the cancellation and exam-reform issues; September 2026 issue covered fast-track courts for paper-leak cases; application-cycle details not verified in a CSC issue within the window</t>
        </is>
      </c>
    </row>
    <row r="22" ht="15" customHeight="1" s="18">
      <c r="A22" s="25" t="n">
        <v>21</v>
      </c>
      <c r="B22" s="25" t="inlineStr">
        <is>
          <t>Scholarship / Fellowship</t>
        </is>
      </c>
      <c r="C22" s="25" t="inlineStr">
        <is>
          <t>GENESIS Entrepreneur-in-Residence (EIR) Cohort-3</t>
        </is>
      </c>
      <c r="D22" s="25" t="inlineStr">
        <is>
          <t>MeitY Startup Hub, Ministry of Electronics and Information Technology (MeitY)</t>
        </is>
      </c>
      <c r="E22" s="25" t="inlineStr">
        <is>
          <t>Not degree-specific; open to aspiring entrepreneurs, innovators, researchers, students and early-stage startup founders</t>
        </is>
      </c>
      <c r="F22" s="25" t="inlineStr">
        <is>
          <t>not stated</t>
        </is>
      </c>
      <c r="G22" s="25" t="inlineStr">
        <is>
          <t>not stated</t>
        </is>
      </c>
      <c r="H22" s="25" t="inlineStr">
        <is>
          <t>not stated</t>
        </is>
      </c>
      <c r="I22" s="25" t="inlineStr">
        <is>
          <t>not stated</t>
        </is>
      </c>
      <c r="J22" s="25" t="inlineStr">
        <is>
          <t>Cohort-3 (2026)</t>
        </is>
      </c>
      <c r="K22" s="25" t="inlineStr">
        <is>
          <t>Financial assistance up to Rs 10 lakh through participating GENESIS incubators; plus incubation, mentorship, prototyping, MVP development, technology validation and commercialisation support</t>
        </is>
      </c>
      <c r="L22" s="25" t="inlineStr">
        <is>
          <t>Launched August 2026; exact application deadline not stated</t>
        </is>
      </c>
      <c r="M22" s="33" t="inlineStr">
        <is>
          <t>Dates TBA</t>
        </is>
      </c>
      <c r="N22" s="25" t="inlineStr">
        <is>
          <t>2026-10</t>
        </is>
      </c>
      <c r="O22" s="25" t="inlineStr">
        <is>
          <t>not stated</t>
        </is>
      </c>
      <c r="P22" s="25" t="inlineStr">
        <is>
          <t>https://www.chronicleindia.in/online-magazine/csce-october-2026/meity-startup-hub</t>
        </is>
      </c>
      <c r="Q22" s="25" t="inlineStr">
        <is>
          <t>Directly verified on chronicleindia.in in the Civil Services Chronicle October 2026 edition (Welfare Schemes item 3 and the MeitY Startup Hub article). Fellowship/residency-type programme, logged under scholarship (fellowship). Caveat: the October 2026 edition went online in mid-September 2026, so inclusion is by the magazine's October 2026 coverage month rather than an appearance date inside 1-21 Oct 2026.</t>
        </is>
      </c>
    </row>
    <row r="23" ht="15" customHeight="1" s="18">
      <c r="A23" s="25" t="n">
        <v>22</v>
      </c>
      <c r="B23" s="25" t="inlineStr">
        <is>
          <t>Admission / Entrance Exam</t>
        </is>
      </c>
      <c r="C23" s="25" t="inlineStr">
        <is>
          <t>Vidyarthi Sahayahasta Scheme</t>
        </is>
      </c>
      <c r="D23" s="25" t="inlineStr">
        <is>
          <t>Government of Karnataka</t>
        </is>
      </c>
      <c r="E23" s="25" t="inlineStr">
        <is>
          <t>Professional courses (medical, engineering and other professional courses)</t>
        </is>
      </c>
      <c r="F23" s="25" t="inlineStr">
        <is>
          <t>not stated</t>
        </is>
      </c>
      <c r="G23" s="25" t="inlineStr">
        <is>
          <t>not stated</t>
        </is>
      </c>
      <c r="H23" s="25" t="inlineStr">
        <is>
          <t>not stated</t>
        </is>
      </c>
      <c r="I23" s="25" t="inlineStr">
        <is>
          <t>not stated</t>
        </is>
      </c>
      <c r="J23" s="25" t="inlineStr">
        <is>
          <t>2026</t>
        </is>
      </c>
      <c r="K23" s="25" t="inlineStr">
        <is>
          <t>No direct cash award; provides 7.5% reservation within the existing 15% rural reservation for professional-course admissions</t>
        </is>
      </c>
      <c r="L23" s="25" t="inlineStr">
        <is>
          <t>Announced 15 August 2026; applies to professional-course admissions; closing date not stated</t>
        </is>
      </c>
      <c r="M23" s="30" t="inlineStr">
        <is>
          <t>Rolling</t>
        </is>
      </c>
      <c r="N23" s="25" t="inlineStr">
        <is>
          <t>2026-10</t>
        </is>
      </c>
      <c r="O23" s="25" t="inlineStr">
        <is>
          <t>not stated</t>
        </is>
      </c>
      <c r="P23" s="25" t="inlineStr">
        <is>
          <t>https://www.chronicleindia.in/online-magazine/csce-october-2026/vidyarthi-sahayahasta-scheme</t>
        </is>
      </c>
      <c r="Q23" s="25" t="inlineStr">
        <is>
          <t>Directly verified on chronicleindia.in in the Civil Services Chronicle October 2026 edition. Admission-related state scheme (rural reservation). Caveat: announcement dated 15 August 2026 and the October 2026 edition went online mid-September 2026, so inclusion is by the magazine's October 2026 coverage month rather than an appearance date inside 1-21 Oct 2026.</t>
        </is>
      </c>
    </row>
    <row r="24">
      <c r="A24" s="17" t="n">
        <v>23</v>
      </c>
      <c r="B24" s="17" t="inlineStr">
        <is>
          <t>Scholarship / Fellowship</t>
        </is>
      </c>
      <c r="C24" s="17" t="inlineStr">
        <is>
          <t>UP Scholarship 2026-27 (Pre-Matric and Post-Matric / Dashmottar)</t>
        </is>
      </c>
      <c r="D24" s="17" t="inlineStr">
        <is>
          <t>Samaj Kalyan Vibhag (Social Welfare Department), Government of Uttar Pradesh</t>
        </is>
      </c>
      <c r="E24" s="17" t="inlineStr">
        <is>
          <t>Class 9-12 (pre-matric); degree/diploma/ITI/B.Ed and other post-Class 12 courses (Dashmottar)</t>
        </is>
      </c>
      <c r="F24" s="17" t="inlineStr">
        <is>
          <t>General, SC, ST, OBC and minority students domiciled in Uttar Pradesh</t>
        </is>
      </c>
      <c r="G24" s="17" t="inlineStr">
        <is>
          <t>Boys and girls</t>
        </is>
      </c>
      <c r="H24" s="17" t="inlineStr">
        <is>
          <t>Usually Rs.2-2.5 lakh per year (category-wise)</t>
        </is>
      </c>
      <c r="I24" s="17" t="inlineStr">
        <is>
          <t>Not stated</t>
        </is>
      </c>
      <c r="J24" s="17" t="inlineStr">
        <is>
          <t>Annual (2026-27)</t>
        </is>
      </c>
      <c r="K24" s="17" t="inlineStr">
        <is>
          <t>Fee reimbursement and maintenance allowance (varies by course/category)</t>
        </is>
      </c>
      <c r="L24" s="17" t="inlineStr">
        <is>
          <t>Class 9 &amp; 11 fresh applications till 17/10/2026; Dashmottar fresh applications till 31/10/2026 (renewal closed 15/10/2026)</t>
        </is>
      </c>
      <c r="M24" s="17" t="inlineStr">
        <is>
          <t>Open</t>
        </is>
      </c>
      <c r="N24" s="17" t="inlineStr">
        <is>
          <t>2026-10</t>
        </is>
      </c>
      <c r="O24" s="17" t="inlineStr">
        <is>
          <t>scholarship.up.gov.in</t>
        </is>
      </c>
      <c r="P24" s="17" t="inlineStr">
        <is>
          <t>https://www.buddy4study.com/article/up-scholarship</t>
        </is>
      </c>
      <c r="Q24" s="17" t="inlineStr">
        <is>
          <t>INFERRED from Civil Services Chronicle's normal coverage of state scholarship schemes (not directly seen in its November 2026 issue). Deadlines fall within this window.</t>
        </is>
      </c>
    </row>
    <row r="25">
      <c r="A25" s="17" t="n">
        <v>24</v>
      </c>
      <c r="B25" s="17" t="inlineStr">
        <is>
          <t>Scholarship / Fellowship</t>
        </is>
      </c>
      <c r="C25" s="17" t="inlineStr">
        <is>
          <t>AICTE Pragati Scholarship Scheme for Girl Students 2026-27</t>
        </is>
      </c>
      <c r="D25" s="17" t="inlineStr">
        <is>
          <t>All India Council for Technical Education (AICTE), Ministry of Education</t>
        </is>
      </c>
      <c r="E25" s="17" t="inlineStr">
        <is>
          <t>Girl students in the first year of an AICTE-approved technical degree or diploma course (or second year through lateral entry)</t>
        </is>
      </c>
      <c r="F25" s="17" t="inlineStr">
        <is>
          <t>Open to girl students (all categories)</t>
        </is>
      </c>
      <c r="G25" s="17" t="inlineStr">
        <is>
          <t>Girls</t>
        </is>
      </c>
      <c r="H25" s="17" t="inlineStr">
        <is>
          <t>Not stated</t>
        </is>
      </c>
      <c r="I25" s="17" t="inlineStr">
        <is>
          <t>Not stated</t>
        </is>
      </c>
      <c r="J25" s="17" t="inlineStr">
        <is>
          <t>Annual (2026-27)</t>
        </is>
      </c>
      <c r="K25" s="17" t="inlineStr">
        <is>
          <t>Rs.50,000 per year</t>
        </is>
      </c>
      <c r="L25" s="17" t="inlineStr">
        <is>
          <t>Online application on NSP till 31/10/2026; first-level verification 15/11/2026; second-level verification 30/11/2026</t>
        </is>
      </c>
      <c r="M25" s="17" t="inlineStr">
        <is>
          <t>Open</t>
        </is>
      </c>
      <c r="N25" s="17" t="inlineStr">
        <is>
          <t>2026-10</t>
        </is>
      </c>
      <c r="O25" s="17" t="inlineStr">
        <is>
          <t>scholarships.gov.in</t>
        </is>
      </c>
      <c r="P25" s="17" t="inlineStr">
        <is>
          <t>https://www.buddy4study.com/article/pragati-scholarship ; https://scholarships.gov.in</t>
        </is>
      </c>
      <c r="Q25" s="17" t="inlineStr">
        <is>
          <t>INFERRED from Civil Services Chronicle's normal coverage of central scholarship schemes on the NSP (not directly seen in its November 2026 issue). Source article dated 16 October 2026.</t>
        </is>
      </c>
    </row>
  </sheetData>
  <autoFilter ref="A1:Q23"/>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2026-09-28T06:29:37Z</dcterms:created>
  <dcterms:modified xmlns:dcterms="http://purl.org/dc/terms/" xmlns:xsi="http://www.w3.org/2001/XMLSchema-instance" xsi:type="dcterms:W3CDTF">2026-10-26T21:45:51Z</dcterms:modified>
  <cp:revision>0</cp:revision>
</cp:coreProperties>
</file>