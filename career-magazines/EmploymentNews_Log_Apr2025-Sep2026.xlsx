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2"/>
    <sheet name="Log" sheetId="2" state="visible" r:id="rId3"/>
  </sheets>
  <definedNames>
    <definedName function="false" hidden="true" localSheetId="1" name="_xlnm._FilterDatabase" vbProcedure="false">Log!$A$1:$Q$25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<sst xmlns="http://schemas.openxmlformats.org/spreadsheetml/2006/main" count="420" uniqueCount="295">
  <si>
    <t xml:space="preserve">Employment News - Opportunities Log</t>
  </si>
  <si>
    <t xml:space="preserve">Coverage window: April 2025 - October 2026 (19 months) | Sections logged: scholarships &amp; fellowships, internships, admissions &amp; entrance exams (no government job recruitment, per scope)</t>
  </si>
  <si>
    <t xml:space="preserve">Compiled 28 September 2026 | updated 21 October 2026 with the 1-21 October 2026 scrape</t>
  </si>
  <si>
    <t xml:space="preserve">Method &amp; caveats</t>
  </si>
  <si>
    <t xml:space="preserve">Print archives of this magazine are not publicly accessible in bulk, so entries were compiled from the magazine's own website/web editions where available, and from official notification portals and reputable coverage elsewhere. The Source(s) column links where each fact was verified, and the Notes column states whether the item's appearance in a specific magazine issue was directly verified or inferred from the magazine's normal coverage.</t>
  </si>
  <si>
    <t xml:space="preserve">Coverage Month = the month(s) the item appeared (or would customarily appear) in the magazine, based on the notification's own public timeline.</t>
  </si>
  <si>
    <t xml:space="preserve">Status is as of 28 September 2026: green = open now, blue = rolling applications, amber = upcoming, grey = dates to be announced, red = closed. Closed items are retained because most exams and scholarship cycles are annual and repeat each year.</t>
  </si>
  <si>
    <t xml:space="preserve">Deadlines and fees change - always verify on the Official Website column before relying on any date. This is an information compilation, not an endorsement; never apply through third-party paid agents.</t>
  </si>
  <si>
    <t xml:space="preserve">Entries by section</t>
  </si>
  <si>
    <t xml:space="preserve">Section</t>
  </si>
  <si>
    <t xml:space="preserve">Description</t>
  </si>
  <si>
    <t xml:space="preserve">Count</t>
  </si>
  <si>
    <t xml:space="preserve">Scholarship / Fellowship</t>
  </si>
  <si>
    <t xml:space="preserve">Government, trust and CSR scholarships and fellowships covered in this window.</t>
  </si>
  <si>
    <t xml:space="preserve">Internship</t>
  </si>
  <si>
    <t xml:space="preserve">Internship programmes covered in this window.</t>
  </si>
  <si>
    <t xml:space="preserve">Admission / Entrance Exam</t>
  </si>
  <si>
    <t xml:space="preserve">University/institute admissions and entrance exam notifications (CUET, GATE, CAT, CLAT, EAPCET etc.).</t>
  </si>
  <si>
    <t xml:space="preserve">Total entries</t>
  </si>
  <si>
    <t xml:space="preserve">S.No</t>
  </si>
  <si>
    <t xml:space="preserve">Type</t>
  </si>
  <si>
    <t xml:space="preserve">Name</t>
  </si>
  <si>
    <t xml:space="preserve">Organiser</t>
  </si>
  <si>
    <t xml:space="preserve">For (Education Background)</t>
  </si>
  <si>
    <t xml:space="preserve">Caste / Community</t>
  </si>
  <si>
    <t xml:space="preserve">Gender</t>
  </si>
  <si>
    <t xml:space="preserve">Income Limit</t>
  </si>
  <si>
    <t xml:space="preserve">Age Limit</t>
  </si>
  <si>
    <t xml:space="preserve">Cycle</t>
  </si>
  <si>
    <t xml:space="preserve">Award / Stipend / Fees</t>
  </si>
  <si>
    <t xml:space="preserve">Deadline / Window</t>
  </si>
  <si>
    <t xml:space="preserve">Status</t>
  </si>
  <si>
    <t xml:space="preserve">Coverage Month</t>
  </si>
  <si>
    <t xml:space="preserve">Official Website</t>
  </si>
  <si>
    <t xml:space="preserve">Source(s)</t>
  </si>
  <si>
    <t xml:space="preserve">Notes</t>
  </si>
  <si>
    <t xml:space="preserve">CIPET Admission Test (CAT) 2025 for Diploma and PG Diploma programmes</t>
  </si>
  <si>
    <t xml:space="preserve">Central Institute of Petrochemicals Engineering and Technology (CIPET), Ministry of Chemicals and Fertilizers</t>
  </si>
  <si>
    <t xml:space="preserve">Diploma (DPMT, DPT after 10th) and PG diploma (PGD-PPT, PD-PMD) courses in plastics technology</t>
  </si>
  <si>
    <t xml:space="preserve">All categories</t>
  </si>
  <si>
    <t xml:space="preserve">Boys and girls</t>
  </si>
  <si>
    <t xml:space="preserve">Not applicable</t>
  </si>
  <si>
    <t xml:space="preserve">As per course level</t>
  </si>
  <si>
    <t xml:space="preserve">Annual (2025-26 academic year)</t>
  </si>
  <si>
    <t xml:space="preserve">No scholarship; fee-based courses; all-India entrance test on 08.06.2025; courses commence 14.07.2025</t>
  </si>
  <si>
    <t xml:space="preserve">Online application 07.02.2025 to 29.05.2025; CAT held 08.06.2025</t>
  </si>
  <si>
    <t xml:space="preserve">Closed</t>
  </si>
  <si>
    <t xml:space="preserve">2025-03;2025-04;2025-05</t>
  </si>
  <si>
    <t xml:space="preserve">www.cipet.gov.in</t>
  </si>
  <si>
    <t xml:space="preserve">https://employmentnews.gov.in/writereaddata/010420251488225205.pdf</t>
  </si>
  <si>
    <t xml:space="preserve">Ad verified from the Employment News advertisement PDF hosted on the magazine's own website; the notice ran repeatedly (EN issue 29 Mar-4 Apr 2025, EN 4/5, EN 6/11 and later Apr-May 2025 issues)</t>
  </si>
  <si>
    <t xml:space="preserve">All India Selection Test (AIST) 2025 for FDDI UG and PG programmes</t>
  </si>
  <si>
    <t xml:space="preserve">Footwear Design and Development Institute (FDDI), Ministry of Commerce and Industry</t>
  </si>
  <si>
    <t xml:space="preserve">B.Des, BBA (Retail and Fashion Merchandise), M.Des and MBA programmes after 10+2 or graduation</t>
  </si>
  <si>
    <t xml:space="preserve">UG and PG level as per course norms</t>
  </si>
  <si>
    <t xml:space="preserve">Annual (2025-26 session)</t>
  </si>
  <si>
    <t xml:space="preserve">No scholarship advertised; AIST held pan-India on 11.05.2025; lateral entry available</t>
  </si>
  <si>
    <t xml:space="preserve">Applications closed 07.05.2025; entrance test 11.05.2025</t>
  </si>
  <si>
    <t xml:space="preserve">2025-05</t>
  </si>
  <si>
    <t xml:space="preserve">www.fddiindia.com</t>
  </si>
  <si>
    <t xml:space="preserve">https://employmentnews.gov.in/writereaddata/070520256134710576.1.pdf</t>
  </si>
  <si>
    <t xml:space="preserve">Advertised as EN 5/76 (issue 3-9 May 2025); verified from the EN-published advertisement PDF on employmentnews.gov.in</t>
  </si>
  <si>
    <t xml:space="preserve">PGDM in Business Management (BM) 2025-27</t>
  </si>
  <si>
    <t xml:space="preserve">National Academy of Defence Production (NADP), a unit of Munitions India Limited, Ministry of Defence</t>
  </si>
  <si>
    <t xml:space="preserve">Two-year AICTE-approved PGDM for graduates with CAT, CMAT, MH-CET or MAT scores</t>
  </si>
  <si>
    <t xml:space="preserve">As per AICTE PGDM norms</t>
  </si>
  <si>
    <t xml:space="preserve">Annual (2025-27 batch)</t>
  </si>
  <si>
    <t xml:space="preserve">AICTE-approved PGDM focused on defence industries</t>
  </si>
  <si>
    <t xml:space="preserve">Application deadline extended up to 25.05.2025 (CAT, CMAT, MH-CET, MAT applicants)</t>
  </si>
  <si>
    <t xml:space="preserve">www.ddpdoo.gov.in/units/NADP</t>
  </si>
  <si>
    <t xml:space="preserve">https://employmentnews.gov.in/writereaddata/130520254975800671.pdf</t>
  </si>
  <si>
    <t xml:space="preserve">Advertised as EN 6/71 (issue 10-16 May 2025); verified from the EN-published advertisement PDF on employmentnews.gov.in</t>
  </si>
  <si>
    <t xml:space="preserve">One-Year Post Graduate Diploma (PGD) in Patinformatics (Patent Informatics) 2025-26</t>
  </si>
  <si>
    <t xml:space="preserve">CSIR-Unit for Research and Development of Information Products (URDIP), Pune, under the aegis of AcSIR</t>
  </si>
  <si>
    <t xml:space="preserve">M.Sc., B.E., M.Pharm, M.Tech, B.Tech holders with min 60 percent, or LLB, M.Lib.Sci or MBA with graduation in science</t>
  </si>
  <si>
    <t xml:space="preserve">All categories (55 percent for OBC and PwD, 50 percent for SC and ST)</t>
  </si>
  <si>
    <t xml:space="preserve">Annual</t>
  </si>
  <si>
    <t xml:space="preserve">Course fee Rs 15,500 per semester; application fee Rs 1,000 (Rs 500 for SC, ST, PwD, EWS)</t>
  </si>
  <si>
    <t xml:space="preserve">Last date for online application 02.06.2025 (Advt No. URDIP/03/2025)</t>
  </si>
  <si>
    <t xml:space="preserve">pgdp.urdip.res.in</t>
  </si>
  <si>
    <t xml:space="preserve">https://employmentnews.gov.in/writereaddata/13052025502370674.pdf</t>
  </si>
  <si>
    <t xml:space="preserve">Advertised as EN 6/74 (issue 10-16 May 2025); diploma awarded by AcSIR; the 2026 cycle advertisement gave a last date of 08.06.2026</t>
  </si>
  <si>
    <t xml:space="preserve">NSIC Technical Services Centre job-oriented courses (Okhla, New Delhi)</t>
  </si>
  <si>
    <t xml:space="preserve">National Small Industries Corporation (NSIC), Ministry of MSME</t>
  </si>
  <si>
    <t xml:space="preserve">Post diploma, diploma and certificate courses (CAD, CAM, CNC, BIM, MEPF, interior design and more) for 10+2, ITI, diploma and degree holders</t>
  </si>
  <si>
    <t xml:space="preserve">Rolling, multiple batches</t>
  </si>
  <si>
    <t xml:space="preserve">Fee-based courses from about Rs 5,000 to Rs 70,000 depending on course; placement assistance available</t>
  </si>
  <si>
    <t xml:space="preserve">Rolling admissions; contact 011-29621562 or ntsockhla.designtrg@nsic.co.in</t>
  </si>
  <si>
    <t xml:space="preserve">Rolling</t>
  </si>
  <si>
    <t xml:space="preserve">2025-05;2025-06</t>
  </si>
  <si>
    <t xml:space="preserve">www.nsic.co.in</t>
  </si>
  <si>
    <t xml:space="preserve">https://employmentnews.gov.in/writereaddata/160620257666851191.pdf</t>
  </si>
  <si>
    <t xml:space="preserve">Advertised repeatedly in Employment News (EN 11/91, issue 14-20 June 2025, and May 2025 issues); admissions are rolling so status shown as of 28 Sep 2026</t>
  </si>
  <si>
    <t xml:space="preserve">MBA Admission 2026 (Aviation Management, Aviation Logistics Management, Aviation Finance)</t>
  </si>
  <si>
    <t xml:space="preserve">Rajiv Gandhi National Aviation University (RGNAU), Fursatganj, Amethi, Ministry of Civil Aviation</t>
  </si>
  <si>
    <t xml:space="preserve">Two-year MBA for graduates with min 50 percent marks (5 percent relaxation for SC, ST, PwD)</t>
  </si>
  <si>
    <t xml:space="preserve">Reservation as per GoI norms for SC, ST, OBC, EWS, PwD</t>
  </si>
  <si>
    <t xml:space="preserve">Boys and girls (Rs 500 application fee for female applicants)</t>
  </si>
  <si>
    <t xml:space="preserve">Max 25 years as per admission notice</t>
  </si>
  <si>
    <t xml:space="preserve">Annual (2026-27 session)</t>
  </si>
  <si>
    <t xml:space="preserve">150 seats across three MBA programmes; application fee Rs 1,000 (Gen, OBC, EWS) and Rs 500 (SC, ST, PwD, female)</t>
  </si>
  <si>
    <t xml:space="preserve">First round applications 11.02.2026 to 31.03.2026; later second and spot rounds ran to Aug 2026</t>
  </si>
  <si>
    <t xml:space="preserve">2026-03</t>
  </si>
  <si>
    <t xml:space="preserve">www.rgnau.ac.in</t>
  </si>
  <si>
    <t xml:space="preserve">https://employmentnews.gov.in/writereaddata/100320262665084982.pdf</t>
  </si>
  <si>
    <t xml:space="preserve">Advertised as EN 49/82 (issue 7-13 March 2026); verified from the EN-published advertisement PDF on employmentnews.gov.in</t>
  </si>
  <si>
    <t xml:space="preserve">PG Online Learning (OL) Programmes 2026 (MBA, MCA, MA)</t>
  </si>
  <si>
    <t xml:space="preserve">Centre for Distance and Online Education (CDOE), Central University of Himachal Pradesh</t>
  </si>
  <si>
    <t xml:space="preserve">Graduates for two-year online PG programmes via Samarth portal</t>
  </si>
  <si>
    <t xml:space="preserve">As per university norms</t>
  </si>
  <si>
    <t xml:space="preserve">Annual (2026-27, January-February 2026 session)</t>
  </si>
  <si>
    <t xml:space="preserve">MBA 500 seats, MCA 200 seats, MA (History, Political Science, Economics) unlimited seats</t>
  </si>
  <si>
    <t xml:space="preserve">Last date to apply online 25.03.2026</t>
  </si>
  <si>
    <t xml:space="preserve">cuhimachalcdoeadm.samarth.edu.in</t>
  </si>
  <si>
    <t xml:space="preserve">https://employmentnews.gov.in/writereaddata/160320269216525052.pdf</t>
  </si>
  <si>
    <t xml:space="preserve">Advertised as EN 50/2 (issue 14-20 March 2026); verified from the EN-published advertisement PDF on employmentnews.gov.in</t>
  </si>
  <si>
    <t xml:space="preserve">One-Year Diploma Course in Archives and Records Management (Session 2026-27)</t>
  </si>
  <si>
    <t xml:space="preserve">School of Archival Studies, National Archives of India, Ministry of Culture, New Delhi</t>
  </si>
  <si>
    <t xml:space="preserve">One-year diploma (02.11.2026 to 28.10.2027) covering records management, conservation, reprography and information science</t>
  </si>
  <si>
    <t xml:space="preserve">As per school norms (details on portal)</t>
  </si>
  <si>
    <t xml:space="preserve">Diploma in archival studies; full details and notice at nationalarchives.nic.in</t>
  </si>
  <si>
    <t xml:space="preserve">Last date of receipt of application 14.08.2026</t>
  </si>
  <si>
    <t xml:space="preserve">2026-08</t>
  </si>
  <si>
    <t xml:space="preserve">nationalarchives.nic.in</t>
  </si>
  <si>
    <t xml:space="preserve">https://employmentnews.gov.in/writereaddata/030820261226831814%20(1).pdf</t>
  </si>
  <si>
    <t xml:space="preserve">Listed as an EN web advertisement in issue no 18 (1-7 August 2026) on the magazine's official website</t>
  </si>
  <si>
    <t xml:space="preserve">IGNOU July 2025 session admissions (ODL and online programmes)</t>
  </si>
  <si>
    <t xml:space="preserve">Indira Gandhi National Open University (IGNOU), New Delhi</t>
  </si>
  <si>
    <t xml:space="preserve">UG, PG, diploma, certificate and online programmes across more than 300 programmes</t>
  </si>
  <si>
    <t xml:space="preserve">No upper age limit for most programmes</t>
  </si>
  <si>
    <t xml:space="preserve">Twice-yearly (January and July sessions)</t>
  </si>
  <si>
    <t xml:space="preserve">Fee-based programmes; applications via ignouadmission.samarth.edu.in and ignouiop.samarth.edu.in</t>
  </si>
  <si>
    <t xml:space="preserve">Fresh admission extended up to 30.09.2025; re-registration ran 15.05.2025 to 15.07.2025 and was later extended</t>
  </si>
  <si>
    <t xml:space="preserve">2025-06;2025-07</t>
  </si>
  <si>
    <t xml:space="preserve">ignou.ac.in</t>
  </si>
  <si>
    <t xml:space="preserve">http://rcrajkot.ignou.ac.in/news/detail/1/Re_registration_for_July_2025_session_has_been_extended_up_to_till_15th_July_2025_for_all_programmes_offered_in_ODL_and_Online_mode-201</t>
  </si>
  <si>
    <t xml:space="preserve">IGNOU routinely publishes admission notices in Employment News; the July 2025 EN placement could not be directly verified in the paid EN e-paper archive</t>
  </si>
  <si>
    <t xml:space="preserve">IGNOU July 2026 session admissions (ODL and online programmes)</t>
  </si>
  <si>
    <t xml:space="preserve">UG, PG, diploma, certificate and online programmes</t>
  </si>
  <si>
    <t xml:space="preserve">Fee-based programmes; late fee of Rs 200 applies to re-registration after the due date</t>
  </si>
  <si>
    <t xml:space="preserve">Fresh admission and re-registration windows ran through 2026 with re-registration for the July 2026 session extended to 30.09.2026 with late fee</t>
  </si>
  <si>
    <t xml:space="preserve">Open now</t>
  </si>
  <si>
    <t xml:space="preserve">2026-06;2026-07</t>
  </si>
  <si>
    <t xml:space="preserve">http://rcbangalore.ignou.ac.in/announcements/1/detail/Extension_of_Last_DateAdmission_July_2025_Fresh_except_Certificate_programmes-229</t>
  </si>
  <si>
    <t xml:space="preserve">As of 28 Sep 2026 the July 2026 session windows were still open; IGNOU routinely advertises in EN but this placement was not directly verified in the archive</t>
  </si>
  <si>
    <t xml:space="preserve">GATE 2026 (Graduate Aptitude Test in Engineering)</t>
  </si>
  <si>
    <t xml:space="preserve">IISc and the IITs on behalf of the National Coordination Board, Ministry of Education; organizing institute IIT Guwahati</t>
  </si>
  <si>
    <t xml:space="preserve">Candidates in the third year or above of an undergraduate degree, or degree holders, in engineering, technology, science, commerce, arts, architecture and humanities</t>
  </si>
  <si>
    <t xml:space="preserve">Boys and girls (reduced fee for female, SC, ST and PwD candidates)</t>
  </si>
  <si>
    <t xml:space="preserve">No age limit</t>
  </si>
  <si>
    <t xml:space="preserve">Annual (2026)</t>
  </si>
  <si>
    <t xml:space="preserve">Used for MTech, direct doctoral and PhD admissions with possible MoE financial assistance; fee Rs 2,000 regular and Rs 1,000 (female, SC, ST, PwD) per paper</t>
  </si>
  <si>
    <t xml:space="preserve">Registration 28.08.2025 to 28.09.2025, extended to 07.10.2025 without late fee and 13.10.2025 with late fee; exams 07, 08, 14 and 15.02.2026; results 19.03.2026</t>
  </si>
  <si>
    <t xml:space="preserve">2025-08;2025-09</t>
  </si>
  <si>
    <t xml:space="preserve">gate2026.iitg.ac.in</t>
  </si>
  <si>
    <t xml:space="preserve">https://gate2026.iitg.ac.in/</t>
  </si>
  <si>
    <t xml:space="preserve">Well-known national entrance exam within EN's normal coverage of admission and exam notices; the specific EN issue placement was not directly verified in the archive</t>
  </si>
  <si>
    <t xml:space="preserve">CAT 2025 (Common Admission Test)</t>
  </si>
  <si>
    <t xml:space="preserve">Indian Institutes of Management; conducted by IIM Kozhikode</t>
  </si>
  <si>
    <t xml:space="preserve">Bachelor's degree holders with 50 percent (45 percent for reserved categories) seeking MBA admission at IIMs and other B-schools</t>
  </si>
  <si>
    <t xml:space="preserve">Gateway to MBA and PGDM programmes at IIMs and top B-schools; fee Rs 2,600 (Gen, EWS) and Rs 1,300 (SC, ST, PwD)</t>
  </si>
  <si>
    <t xml:space="preserve">Registration 01.08.2025 to 20.09.2025 (extended from 13.09.2025); exam 30.11.2025 in three sessions</t>
  </si>
  <si>
    <t xml:space="preserve">2025-07;2025-08;2025-09</t>
  </si>
  <si>
    <t xml:space="preserve">iimcat.ac.in</t>
  </si>
  <si>
    <t xml:space="preserve">https://www.iimk.ac.in/uploads/announcements/CAT%202025%20Notification_20250727093201.pdf</t>
  </si>
  <si>
    <t xml:space="preserve">Well-known national MBA entrance exam; EN regularly carries admission test notices but this placement was not directly verified in the archive</t>
  </si>
  <si>
    <t xml:space="preserve">CLAT 2026 (Common Law Admission Test)</t>
  </si>
  <si>
    <t xml:space="preserve">Consortium of National Law Universities</t>
  </si>
  <si>
    <t xml:space="preserve">Class 12 students for five-year integrated LLB and LLB graduates for LLM at 22 participating NLUs</t>
  </si>
  <si>
    <t xml:space="preserve">As per NLU admission norms</t>
  </si>
  <si>
    <t xml:space="preserve">Annual (for 2026-27 admissions)</t>
  </si>
  <si>
    <t xml:space="preserve">Gateway to UG and PG law programmes at National Law Universities; offline exam</t>
  </si>
  <si>
    <t xml:space="preserve">Applications 01.08.2025 to 31.10.2025; exam 07.12.2025 from 2 PM to 4 PM</t>
  </si>
  <si>
    <t xml:space="preserve">2025-07;2025-08</t>
  </si>
  <si>
    <t xml:space="preserve">consortiumofnlus.ac.in</t>
  </si>
  <si>
    <t xml:space="preserve">https://consortiumofnlus.ac.in/clat-2026/notifications/clat-2026-press-release.pdf</t>
  </si>
  <si>
    <t xml:space="preserve">Well-known national law entrance exam; EN issue placement not directly verified in the archive</t>
  </si>
  <si>
    <t xml:space="preserve">CUET (UG) 2026</t>
  </si>
  <si>
    <t xml:space="preserve">National Testing Agency (NTA)</t>
  </si>
  <si>
    <t xml:space="preserve">Class 12 students seeking UG admission at central universities, state universities and participating institutions</t>
  </si>
  <si>
    <t xml:space="preserve">No age limit per NTA norms</t>
  </si>
  <si>
    <t xml:space="preserve">Gateway to UG admissions at participating universities; 37 subjects; computer-based test</t>
  </si>
  <si>
    <t xml:space="preserve">Applications 03.01.2026 to 30.01.2026, extended to 04.02.2026, reopened 23-26.02.2026; exam 11-31.05.2026 (tentative)</t>
  </si>
  <si>
    <t xml:space="preserve">2026-01;2026-02</t>
  </si>
  <si>
    <t xml:space="preserve">cuet.nta.nic.in</t>
  </si>
  <si>
    <t xml:space="preserve">https://cdnbbsr.s3waas.gov.in/s3d1a21da7bca4abff8b0b61b87597de73/uploads/2026/01/202601031633478370.pdf</t>
  </si>
  <si>
    <t xml:space="preserve">Well-known national entrance exam; EN issue placement not directly verified in the archive</t>
  </si>
  <si>
    <t xml:space="preserve">NEET-UG 2025 All India Quota counselling (MBBS, BDS, BSc Nursing)</t>
  </si>
  <si>
    <t xml:space="preserve">Medical Counselling Committee (MCC), Directorate General of Health Services, Ministry of Health and Family Welfare</t>
  </si>
  <si>
    <t xml:space="preserve">NEET-UG 2025 qualified candidates for the 15 percent AIQ, deemed and central universities, AIIMS, JIPMER, AMU, BHU and ESIC seats</t>
  </si>
  <si>
    <t xml:space="preserve">As per NEET-UG norms</t>
  </si>
  <si>
    <t xml:space="preserve">Annual (2025-26 admission cycle)</t>
  </si>
  <si>
    <t xml:space="preserve">Counselling for AIQ and central institute seats in four rounds plus stray vacancy rounds</t>
  </si>
  <si>
    <t xml:space="preserve">Round 1 registration 21.07.2025 to 06.08.2025 (extended); rounds ran July to September-October 2025 with reporting to 18.08.2025 for round 1</t>
  </si>
  <si>
    <t xml:space="preserve">mcc.nic.in</t>
  </si>
  <si>
    <t xml:space="preserve">https://mcc.nic.in/archive-ug/</t>
  </si>
  <si>
    <t xml:space="preserve">Well-known counselling process; EN issue placement not directly verified in the archive</t>
  </si>
  <si>
    <t xml:space="preserve">UGC-NET June 2025 (Junior Research Fellowship, Assistant Professor eligibility and PhD admission)</t>
  </si>
  <si>
    <t xml:space="preserve">National Testing Agency on behalf of the University Grants Commission</t>
  </si>
  <si>
    <t xml:space="preserve">Master's degree holders with min 55 percent (50 percent for OBC-NCL, SC, ST, PwD and third gender)</t>
  </si>
  <si>
    <t xml:space="preserve">Max 30 years for JRF; no upper limit for Assistant Professor and PhD admission</t>
  </si>
  <si>
    <t xml:space="preserve">Twice-yearly</t>
  </si>
  <si>
    <t xml:space="preserve">JRF fellowship as per UGC norms; exam fee Rs 1,150 (Gen), Rs 600 (OBC-NCL, EWS), Rs 325 (SC, ST, PwD, third gender)</t>
  </si>
  <si>
    <t xml:space="preserve">Applications 16.04.2025 to 07.05.2025; exam 21-30.06.2025</t>
  </si>
  <si>
    <t xml:space="preserve">2025-04;2025-05</t>
  </si>
  <si>
    <t xml:space="preserve">ugcnet.nta.ac.in</t>
  </si>
  <si>
    <t xml:space="preserve">https://www.prepp.in/employment-news-of-the-week-articleid-6536</t>
  </si>
  <si>
    <t xml:space="preserve">Well-known national exam; EN has historically carried UGC NET bureau notifications but this 2025 placement could not be directly verified in the paid EN e-paper archive</t>
  </si>
  <si>
    <t xml:space="preserve">Joint CSIR-UGC NET June 2025 (JRF, Assistant Professor and PhD admission)</t>
  </si>
  <si>
    <t xml:space="preserve">National Testing Agency on behalf of the Council of Scientific and Industrial Research</t>
  </si>
  <si>
    <t xml:space="preserve">M.Sc. or four-year bachelor degree holders in chemical, earth, life, mathematical and physical sciences</t>
  </si>
  <si>
    <t xml:space="preserve">Max 28 years for JRF; no upper age limit for Assistant Professor and PhD admission</t>
  </si>
  <si>
    <t xml:space="preserve">Twice-yearly (June cycle)</t>
  </si>
  <si>
    <t xml:space="preserve">JRF fellowship as per CSIR norms; PwD candidates exempt from exam fee</t>
  </si>
  <si>
    <t xml:space="preserve">Applications 03.06.2025 to 26.06.2025 (extended from 23.06.2025); exam 26-28.07.2025</t>
  </si>
  <si>
    <t xml:space="preserve">2025-06</t>
  </si>
  <si>
    <t xml:space="preserve">csirnet.nta.ac.in</t>
  </si>
  <si>
    <t xml:space="preserve">https://csirnet.nta.ac.in/</t>
  </si>
  <si>
    <t xml:space="preserve">Well-known national exam; EN has historically carried Joint CSIR-UGC NET test advertisements but this 2025 placement was not directly verified in the archive</t>
  </si>
  <si>
    <t xml:space="preserve">PM YASASVI Top Class Education scholarship for OBC, EBC and DNT students 2025-26</t>
  </si>
  <si>
    <t xml:space="preserve">Ministry of Social Justice and Empowerment via the National Scholarship Portal</t>
  </si>
  <si>
    <t xml:space="preserve">Class 9 and Class 11 students entering identified top-performing schools</t>
  </si>
  <si>
    <t xml:space="preserve">OBC, EBC and DNT categories</t>
  </si>
  <si>
    <t xml:space="preserve">Family income up to Rs 2.5 lakh per annum</t>
  </si>
  <si>
    <t xml:space="preserve">As per class 9 and class 11 entry norms</t>
  </si>
  <si>
    <t xml:space="preserve">Rs 75,000 per year for classes 9-10 and Rs 1,25,000 per year for classes 11-12; about 15,000 scholarships</t>
  </si>
  <si>
    <t xml:space="preserve">Applications 02.06.2025 to 31.08.2025 via NSP, merit-based (YET entrance test discontinued for 2025); verification till 30.09.2025</t>
  </si>
  <si>
    <t xml:space="preserve">2025-06;2025-07;2025-08</t>
  </si>
  <si>
    <t xml:space="preserve">scholarships.gov.in</t>
  </si>
  <si>
    <t xml:space="preserve">https://www.aubsp.com/pm-yasasvi-scholarship/</t>
  </si>
  <si>
    <t xml:space="preserve">Well-known central scholarship scheme; some portals instead reported an NTA YET-based 2025 cycle with a 17.08.2025 deadline, so dates varied across media reports; EN placement not directly verified</t>
  </si>
  <si>
    <t xml:space="preserve">National Scholarship Portal (NSP) 2026-27 cycle (CSSS and welfare-based schemes)</t>
  </si>
  <si>
    <t xml:space="preserve">Ministry of Electronics and Information Technology and scheme-owning ministries via scholarships.gov.in</t>
  </si>
  <si>
    <t xml:space="preserve">School, UG and PG students across central sector and welfare-based schemes</t>
  </si>
  <si>
    <t xml:space="preserve">Varies by scheme; includes schemes for SC, ST, OBC, EBC, DNT and minority students</t>
  </si>
  <si>
    <t xml:space="preserve">Boys and girls; some schemes exclusively for girls</t>
  </si>
  <si>
    <t xml:space="preserve">Varies by scheme (income ceilings apply)</t>
  </si>
  <si>
    <t xml:space="preserve">Varies by scheme</t>
  </si>
  <si>
    <t xml:space="preserve">Annual (2026-27 academic year)</t>
  </si>
  <si>
    <t xml:space="preserve">Scholarship amounts vary by scheme, including the PM-USP Central Sector Scholarship for college and university students</t>
  </si>
  <si>
    <t xml:space="preserve">Portal open for AY 2026-27 from 01.06.2026; CSSS and PM-USP JK and Ladakh renewal applications close 31.10.2026 (institute verification 15.11.2026, L2 verification 30.11.2026)</t>
  </si>
  <si>
    <t xml:space="preserve">https://scholarships.gov.in/</t>
  </si>
  <si>
    <t xml:space="preserve">Verified from the official NSP portal announcements; EN placement not directly verified in the archive</t>
  </si>
  <si>
    <t xml:space="preserve">Prime Minister's Internship Scheme (PMIS) pilot, Round III</t>
  </si>
  <si>
    <t xml:space="preserve">Ministry of Corporate Affairs, Government of India</t>
  </si>
  <si>
    <t xml:space="preserve">Youth aged 21-24 not in full-time employment or education; 10th, 12th, ITI, diploma and graduate qualification holders eligible</t>
  </si>
  <si>
    <t xml:space="preserve">Excludes candidates from families above the prescribed income threshold (see portal)</t>
  </si>
  <si>
    <t xml:space="preserve">21 to 24 years</t>
  </si>
  <si>
    <t xml:space="preserve">Rolling rounds; pilot extended to December 2026</t>
  </si>
  <si>
    <t xml:space="preserve">12-month paid internship in top companies; Rs 5,000 per month stipend plus a one-time grant of Rs 6,000; up to five internship choices per candidate</t>
  </si>
  <si>
    <t xml:space="preserve">Round II closed 31.03.2025; Round III ongoing through 2026 with revised guidelines issued 12.03.2026; candidates can apply on a rolling basis on the portal</t>
  </si>
  <si>
    <t xml:space="preserve">2026-03;2026-07</t>
  </si>
  <si>
    <t xml:space="preserve">pminternship.mca.gov.in</t>
  </si>
  <si>
    <t xml:space="preserve">https://sansad.in/getFile/lsapps/loksabhaquestions/annex/188/AU2474_yKH9lZ.pdf</t>
  </si>
  <si>
    <t xml:space="preserve">Well-known central internship scheme; EN carries job-oriented training notices but PMIS placement in EN was not directly verified; coverage months estimated from the revised guidelines and round timeline</t>
  </si>
  <si>
    <t xml:space="preserve">Ph.D. Fellowships / Junior Research Fellowships (JRF) for NET-qualified Non-Ayush (Non-Medical) aspirants to pursue Ph.D. in Ayurveda and Yoga &amp; Naturopathy</t>
  </si>
  <si>
    <t xml:space="preserve">Central Council for Research in Ayurvedic Sciences (CCRAS) and CCRYN, Ministry of Ayush, Govt. of India</t>
  </si>
  <si>
    <t xml:space="preserve">Postgraduate degree in Biomedical/Life Sciences, Chemical Sciences, Physical Sciences, Social Sciences or Biostatistics, plus a valid NET (CSIR-UGC JRF/LS, DBT-JRF, BET, ICAR AICE-SRF (PGS) or ICMR JRF)</t>
  </si>
  <si>
    <t xml:space="preserve">not stated (open to all; 5-yr age relaxation for SC/ST/OBC)</t>
  </si>
  <si>
    <t xml:space="preserve">not stated (5-yr age relaxation for female applicants)</t>
  </si>
  <si>
    <t xml:space="preserve">not stated</t>
  </si>
  <si>
    <t xml:space="preserve">Maximum 28 years as on date of issue of the advertisement in Employment News (5-yr relaxation for SC/ST/OBC/PwD-locomotor/female)</t>
  </si>
  <si>
    <t xml:space="preserve">2026-27</t>
  </si>
  <si>
    <t xml:space="preserve">JRF Rs 37,000 per month; SRF Rs 42,000 per month; plus HRA, annual contingency Rs 20,000 and one-time research contingency grant up to Rs 1 lakh</t>
  </si>
  <si>
    <t xml:space="preserve">Within 60 days of publication in Employment News (EN issue 10-16 Oct 2026); last date about 8 December 2026</t>
  </si>
  <si>
    <t xml:space="preserve">2026-10</t>
  </si>
  <si>
    <t xml:space="preserve">ccras.nic.in; portal phd.ccras.org.in</t>
  </si>
  <si>
    <t xml:space="preserve">https://ccras.nic.in/wp-content/uploads/2026/10/19102026-Full-Advertisements-for-NON-AYUSH-candidates-2026-Final.pdf</t>
  </si>
  <si>
    <t xml:space="preserve">Advertisement No. 05/2026/Ph.D.; carried in Employment News issue 28 (10-16 October 2026), ref EN 28/47 (magazine appearance directly verified via CCRAS notice and EN weekly summaries)</t>
  </si>
  <si>
    <t xml:space="preserve">Open Post-Doctoral Fellowships and Jawaharlal Nehru Post-Doctoral Fellowships</t>
  </si>
  <si>
    <t xml:space="preserve">National Centre for Radio Astrophysics (NCRA), Tata Institute of Fundamental Research (TIFR), Pune</t>
  </si>
  <si>
    <t xml:space="preserve">Ph.D. (at least provisional) in astronomy, physics or a related field; research in radio astronomy, instrumentation and allied areas</t>
  </si>
  <si>
    <t xml:space="preserve">2026</t>
  </si>
  <si>
    <t xml:space="preserve">Rs 58,000 to Rs 67,000 per month (experience-based) plus HRA; contingency Rs 60,000 per year; travel grant Rs 3,00,000; tenure 3 years (extendable up to 5)</t>
  </si>
  <si>
    <t xml:space="preserve">31 October 2026</t>
  </si>
  <si>
    <t xml:space="preserve">ncra.tifr.res.in</t>
  </si>
  <si>
    <t xml:space="preserve">https://www.ncra.tifr.res.in/jobs/academic/opportunities/open-post-doc-fellowship</t>
  </si>
  <si>
    <t xml:space="preserve">Reported as carried in Employment News issue 27 (03-09 October 2026), page 25 (magazine appearance inferred from a third-party weekly EN summary; the fellowship itself verified on the NCRA-TIFR website)</t>
  </si>
  <si>
    <t xml:space="preserve">Admission Notice for Job Oriented Courses (TM-FT; AD-FMD with Jr-TS-FDM and TS-FDM; MT-FDPD; T-FM; Jr-T-FDP; Shoe CAD &amp; Digital 3D; Specialised Course; Weekend Course)</t>
  </si>
  <si>
    <t xml:space="preserve">Central Footwear Training Institute (CFTI), Agra - MSME Technology Development Centre, Ministry of Micro, Small &amp; Medium Enterprises, Govt. of India</t>
  </si>
  <si>
    <t xml:space="preserve">10th pass, 12th pass or Graduation depending on the course; courses conducted by NCVET and recognised by Govt. of India</t>
  </si>
  <si>
    <t xml:space="preserve">not stated (tuition fee waived for SC/ST in courses 1 to 5)</t>
  </si>
  <si>
    <t xml:space="preserve">17 years and above (some courses 19 years and above)</t>
  </si>
  <si>
    <t xml:space="preserve">Course fees Rs 47,650 to Rs 1,78,600 for general/OBC (SC/ST concessional); no stipend</t>
  </si>
  <si>
    <t xml:space="preserve">First come first serve through counselling/interview; proposed course commencement 28 October 2026</t>
  </si>
  <si>
    <t xml:space="preserve">www.cftiagra.org.in</t>
  </si>
  <si>
    <t xml:space="preserve">https://employmentnews.gov.in/writereaddata/051020261204122762.pdf</t>
  </si>
  <si>
    <t xml:space="preserve">Carried in Employment News issue 27 (03-09 October 2026), ref EN 27/62 (magazine appearance directly verified from the Employment News advertisement PDF)</t>
  </si>
  <si>
    <t xml:space="preserve">Admission to Job Oriented Courses (Post Diploma in Interior &amp; Architecture Design; Post Diploma in Reverse Engineering; Diploma in Building Information Modelling; Adv. Diploma in MEPF Design; Diploma in CNC Technology; CAD/CAM/CAE; SolidWorks; Revit; STAAD Pro and others)</t>
  </si>
  <si>
    <t xml:space="preserve">NSIC Technical Services Centre, National Small Industries Corporation (NSIC), Okhla Phase-III, New Delhi</t>
  </si>
  <si>
    <t xml:space="preserve">10th pass, ITI, Diploma or Degree in mechanical, civil, architecture, production or interior design depending on the course</t>
  </si>
  <si>
    <t xml:space="preserve">Course fees Rs 5,000 to Rs 70,000 depending on course (GST extra); placement assistance offered; no stipend</t>
  </si>
  <si>
    <t xml:space="preserve">Rolling - short-term courses of 1 to 13 months; apply per course</t>
  </si>
  <si>
    <t xml:space="preserve">https://employmentnews.gov.in/writereaddata/051020262997412775.pdf</t>
  </si>
  <si>
    <t xml:space="preserve">Carried in Employment News issue 27 (03-09 October 2026), ref EN 27/5 (magazine appearance directly verified from the Employment News advertisement PDF)</t>
  </si>
</sst>
</file>

<file path=xl/styles.xml><?xml version="1.0" encoding="utf-8"?>
<styleSheet xmlns="http://schemas.openxmlformats.org/spreadsheetml/2006/main">
  <numFmts count="2">
    <numFmt numFmtId="164" formatCode="General"/>
    <numFmt numFmtId="165" formatCode="General"/>
  </numFmts>
  <fonts count="11">
    <font>
      <sz val="11"/>
      <color rgb="FF000000"/>
      <name val="Calibri"/>
      <family val="2"/>
      <charset val="1"/>
    </font>
    <font>
      <sz val="10"/>
      <name val="Arial"/>
      <family val="0"/>
    </font>
    <font>
      <sz val="10"/>
      <name val="Arial"/>
      <family val="0"/>
    </font>
    <font>
      <sz val="10"/>
      <name val="Arial"/>
      <family val="0"/>
    </font>
    <font>
      <b val="true"/>
      <sz val="16"/>
      <color rgb="FF1F4E79"/>
      <name val="Arial"/>
      <family val="0"/>
      <charset val="1"/>
    </font>
    <font>
      <sz val="11"/>
      <color rgb="FF404040"/>
      <name val="Arial"/>
      <family val="0"/>
      <charset val="1"/>
    </font>
    <font>
      <b val="true"/>
      <sz val="12"/>
      <color rgb="FF1F4E79"/>
      <name val="Arial"/>
      <family val="0"/>
      <charset val="1"/>
    </font>
    <font>
      <sz val="10"/>
      <name val="Arial"/>
      <family val="0"/>
      <charset val="1"/>
    </font>
    <font>
      <b val="true"/>
      <sz val="10"/>
      <color rgb="FFFFFFFF"/>
      <name val="Arial"/>
      <family val="0"/>
      <charset val="1"/>
    </font>
    <font>
      <b val="true"/>
      <sz val="10"/>
      <name val="Arial"/>
      <family val="0"/>
      <charset val="1"/>
    </font>
    <font>
      <b val="true"/>
      <sz val="11"/>
      <color rgb="FF1F4E79"/>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FFC7CE"/>
        <bgColor rgb="FFCCCCFF"/>
      </patternFill>
    </fill>
    <fill>
      <patternFill patternType="solid">
        <fgColor rgb="FFDDEBF7"/>
        <bgColor rgb="FFCCFFFF"/>
      </patternFill>
    </fill>
    <fill>
      <patternFill patternType="solid">
        <fgColor rgb="FFC6EFCE"/>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9"/>
        </patternFill>
      </fill>
    </dxf>
    <dxf>
      <fill>
        <patternFill patternType="solid">
          <fgColor rgb="00FFFFFF"/>
        </patternFill>
      </fill>
    </dxf>
    <dxf>
      <fill>
        <patternFill patternType="solid">
          <fgColor rgb="FFFFFFFF"/>
        </patternFill>
      </fill>
    </dxf>
    <dxf>
      <fill>
        <patternFill patternType="solid">
          <fgColor rgb="FFC6EFCE"/>
        </patternFill>
      </fill>
    </dxf>
    <dxf>
      <fill>
        <patternFill patternType="solid">
          <fgColor rgb="FFDDEBF7"/>
        </patternFill>
      </fill>
    </dxf>
    <dxf>
      <fill>
        <patternFill patternType="solid">
          <f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95"/>
    <col collapsed="false" customWidth="true" hidden="false" outlineLevel="0" max="4" min="4" style="1" width="16"/>
  </cols>
  <sheetData>
    <row r="2" customFormat="false" ht="15" hidden="false" customHeight="true" outlineLevel="0" collapsed="false">
      <c r="B2" s="2" t="s">
        <v>0</v>
      </c>
    </row>
    <row r="3" customFormat="false" ht="15" hidden="false" customHeight="true" outlineLevel="0" collapsed="false">
      <c r="B3" s="3" t="s">
        <v>1</v>
      </c>
    </row>
    <row r="4" customFormat="false" ht="15" hidden="false" customHeight="true" outlineLevel="0" collapsed="false">
      <c r="B4" s="3" t="s">
        <v>2</v>
      </c>
    </row>
    <row r="6" customFormat="false" ht="15" hidden="false" customHeight="true" outlineLevel="0" collapsed="false">
      <c r="B6" s="4" t="s">
        <v>3</v>
      </c>
    </row>
    <row r="7" customFormat="false" ht="15" hidden="false" customHeight="true" outlineLevel="0" collapsed="false">
      <c r="B7" s="5" t="s">
        <v>4</v>
      </c>
      <c r="C7" s="5"/>
      <c r="D7" s="5"/>
    </row>
    <row r="8" customFormat="false" ht="15" hidden="false" customHeight="true" outlineLevel="0" collapsed="false">
      <c r="B8" s="5"/>
      <c r="C8" s="5"/>
      <c r="D8" s="5"/>
    </row>
    <row r="9" customFormat="false" ht="15" hidden="false" customHeight="true" outlineLevel="0" collapsed="false">
      <c r="B9" s="5" t="s">
        <v>5</v>
      </c>
      <c r="C9" s="5"/>
      <c r="D9" s="5"/>
    </row>
    <row r="10" customFormat="false" ht="15" hidden="false" customHeight="true" outlineLevel="0" collapsed="false">
      <c r="B10" s="5"/>
      <c r="C10" s="5"/>
      <c r="D10" s="5"/>
    </row>
    <row r="11" customFormat="false" ht="15" hidden="false" customHeight="true" outlineLevel="0" collapsed="false">
      <c r="B11" s="5" t="s">
        <v>6</v>
      </c>
      <c r="C11" s="5"/>
      <c r="D11" s="5"/>
    </row>
    <row r="12" customFormat="false" ht="15" hidden="false" customHeight="true" outlineLevel="0" collapsed="false">
      <c r="B12" s="5"/>
      <c r="C12" s="5"/>
      <c r="D12" s="5"/>
    </row>
    <row r="13" customFormat="false" ht="15" hidden="false" customHeight="true" outlineLevel="0" collapsed="false">
      <c r="B13" s="5" t="s">
        <v>7</v>
      </c>
      <c r="C13" s="5"/>
      <c r="D13" s="5"/>
    </row>
    <row r="14" customFormat="false" ht="15" hidden="false" customHeight="true" outlineLevel="0" collapsed="false">
      <c r="B14" s="5"/>
      <c r="C14" s="5"/>
      <c r="D14" s="5"/>
    </row>
    <row r="17" customFormat="false" ht="15" hidden="false" customHeight="true" outlineLevel="0" collapsed="false">
      <c r="B17" s="4" t="s">
        <v>8</v>
      </c>
    </row>
    <row r="18" customFormat="false" ht="15" hidden="false" customHeight="true" outlineLevel="0" collapsed="false">
      <c r="B18" s="6" t="s">
        <v>9</v>
      </c>
      <c r="C18" s="6" t="s">
        <v>10</v>
      </c>
      <c r="D18" s="6" t="s">
        <v>11</v>
      </c>
    </row>
    <row r="19" customFormat="false" ht="15" hidden="false" customHeight="true" outlineLevel="0" collapsed="false">
      <c r="B19" s="7" t="s">
        <v>12</v>
      </c>
      <c r="C19" s="8" t="s">
        <v>13</v>
      </c>
      <c r="D19" s="9" t="n">
        <f aca="false">COUNTIF(Log!B2:B300,"Scholarship / Fellowship")</f>
        <v>6</v>
      </c>
    </row>
    <row r="20" customFormat="false" ht="15" hidden="false" customHeight="true" outlineLevel="0" collapsed="false">
      <c r="B20" s="7" t="s">
        <v>14</v>
      </c>
      <c r="C20" s="8" t="s">
        <v>15</v>
      </c>
      <c r="D20" s="9" t="n">
        <f aca="false">COUNTIF(Log!B2:B300,"Internship")</f>
        <v>1</v>
      </c>
    </row>
    <row r="21" customFormat="false" ht="15" hidden="false" customHeight="true" outlineLevel="0" collapsed="false">
      <c r="B21" s="7" t="s">
        <v>16</v>
      </c>
      <c r="C21" s="8" t="s">
        <v>17</v>
      </c>
      <c r="D21" s="9" t="n">
        <f aca="false">COUNTIF(Log!B2:B300,"Admission / Entrance Exam")</f>
        <v>17</v>
      </c>
    </row>
    <row r="23" customFormat="false" ht="15" hidden="false" customHeight="true" outlineLevel="0" collapsed="false">
      <c r="B23" s="10" t="s">
        <v>18</v>
      </c>
      <c r="D23" s="11" t="n">
        <f aca="false">COUNTA(Log!A2:A300)</f>
        <v>24</v>
      </c>
    </row>
  </sheetData>
  <mergeCells count="4">
    <mergeCell ref="B7:D8"/>
    <mergeCell ref="B9:D10"/>
    <mergeCell ref="B11:D12"/>
    <mergeCell ref="B13: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976562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3" min="3" style="1" width="40"/>
    <col collapsed="false" customWidth="true" hidden="false" outlineLevel="0" max="4" min="4" style="1" width="30"/>
    <col collapsed="false" customWidth="true" hidden="false" outlineLevel="0" max="5" min="5" style="1" width="38"/>
    <col collapsed="false" customWidth="true" hidden="false" outlineLevel="0" max="6" min="6" style="1" width="20"/>
    <col collapsed="false" customWidth="true" hidden="false" outlineLevel="0" max="7" min="7" style="1" width="10"/>
    <col collapsed="false" customWidth="true" hidden="false" outlineLevel="0" max="8" min="8" style="1" width="16"/>
    <col collapsed="false" customWidth="true" hidden="false" outlineLevel="0" max="9" min="9" style="1" width="12"/>
    <col collapsed="false" customWidth="true" hidden="false" outlineLevel="0" max="10" min="10" style="1" width="18"/>
    <col collapsed="false" customWidth="true" hidden="false" outlineLevel="0" max="12" min="11" style="1" width="26"/>
    <col collapsed="false" customWidth="true" hidden="false" outlineLevel="0" max="13" min="13" style="1" width="12"/>
    <col collapsed="false" customWidth="true" hidden="false" outlineLevel="0" max="14" min="14" style="1" width="13"/>
    <col collapsed="false" customWidth="true" hidden="false" outlineLevel="0" max="15" min="15" style="1" width="30"/>
    <col collapsed="false" customWidth="true" hidden="false" outlineLevel="0" max="16" min="16" style="1" width="34"/>
    <col collapsed="false" customWidth="true" hidden="false" outlineLevel="0" max="17" min="17" style="1" width="38"/>
  </cols>
  <sheetData>
    <row r="1" customFormat="false" ht="15" hidden="false" customHeight="true" outlineLevel="0" collapsed="false">
      <c r="A1" s="12" t="s">
        <v>19</v>
      </c>
      <c r="B1" s="12" t="s">
        <v>20</v>
      </c>
      <c r="C1" s="12" t="s">
        <v>21</v>
      </c>
      <c r="D1" s="12" t="s">
        <v>22</v>
      </c>
      <c r="E1" s="12" t="s">
        <v>23</v>
      </c>
      <c r="F1" s="12" t="s">
        <v>24</v>
      </c>
      <c r="G1" s="12" t="s">
        <v>25</v>
      </c>
      <c r="H1" s="12" t="s">
        <v>26</v>
      </c>
      <c r="I1" s="12" t="s">
        <v>27</v>
      </c>
      <c r="J1" s="12" t="s">
        <v>28</v>
      </c>
      <c r="K1" s="12" t="s">
        <v>29</v>
      </c>
      <c r="L1" s="12" t="s">
        <v>30</v>
      </c>
      <c r="M1" s="12" t="s">
        <v>31</v>
      </c>
      <c r="N1" s="12" t="s">
        <v>32</v>
      </c>
      <c r="O1" s="12" t="s">
        <v>33</v>
      </c>
      <c r="P1" s="12" t="s">
        <v>34</v>
      </c>
      <c r="Q1" s="12" t="s">
        <v>35</v>
      </c>
    </row>
    <row r="2" customFormat="false" ht="15" hidden="false" customHeight="true" outlineLevel="0" collapsed="false">
      <c r="A2" s="8" t="n">
        <v>1</v>
      </c>
      <c r="B2" s="8" t="s">
        <v>16</v>
      </c>
      <c r="C2" s="8" t="s">
        <v>36</v>
      </c>
      <c r="D2" s="8" t="s">
        <v>37</v>
      </c>
      <c r="E2" s="8" t="s">
        <v>38</v>
      </c>
      <c r="F2" s="8" t="s">
        <v>39</v>
      </c>
      <c r="G2" s="8" t="s">
        <v>40</v>
      </c>
      <c r="H2" s="8" t="s">
        <v>41</v>
      </c>
      <c r="I2" s="8" t="s">
        <v>42</v>
      </c>
      <c r="J2" s="8" t="s">
        <v>43</v>
      </c>
      <c r="K2" s="8" t="s">
        <v>44</v>
      </c>
      <c r="L2" s="8" t="s">
        <v>45</v>
      </c>
      <c r="M2" s="13" t="s">
        <v>46</v>
      </c>
      <c r="N2" s="8" t="s">
        <v>47</v>
      </c>
      <c r="O2" s="8" t="s">
        <v>48</v>
      </c>
      <c r="P2" s="8" t="s">
        <v>49</v>
      </c>
      <c r="Q2" s="8" t="s">
        <v>50</v>
      </c>
    </row>
    <row r="3" customFormat="false" ht="15" hidden="false" customHeight="true" outlineLevel="0" collapsed="false">
      <c r="A3" s="8" t="n">
        <v>2</v>
      </c>
      <c r="B3" s="8" t="s">
        <v>16</v>
      </c>
      <c r="C3" s="8" t="s">
        <v>51</v>
      </c>
      <c r="D3" s="8" t="s">
        <v>52</v>
      </c>
      <c r="E3" s="8" t="s">
        <v>53</v>
      </c>
      <c r="F3" s="8" t="s">
        <v>39</v>
      </c>
      <c r="G3" s="8" t="s">
        <v>40</v>
      </c>
      <c r="H3" s="8" t="s">
        <v>41</v>
      </c>
      <c r="I3" s="8" t="s">
        <v>54</v>
      </c>
      <c r="J3" s="8" t="s">
        <v>55</v>
      </c>
      <c r="K3" s="8" t="s">
        <v>56</v>
      </c>
      <c r="L3" s="8" t="s">
        <v>57</v>
      </c>
      <c r="M3" s="13" t="s">
        <v>46</v>
      </c>
      <c r="N3" s="8" t="s">
        <v>58</v>
      </c>
      <c r="O3" s="8" t="s">
        <v>59</v>
      </c>
      <c r="P3" s="8" t="s">
        <v>60</v>
      </c>
      <c r="Q3" s="8" t="s">
        <v>61</v>
      </c>
    </row>
    <row r="4" customFormat="false" ht="15" hidden="false" customHeight="true" outlineLevel="0" collapsed="false">
      <c r="A4" s="8" t="n">
        <v>3</v>
      </c>
      <c r="B4" s="8" t="s">
        <v>16</v>
      </c>
      <c r="C4" s="8" t="s">
        <v>62</v>
      </c>
      <c r="D4" s="8" t="s">
        <v>63</v>
      </c>
      <c r="E4" s="8" t="s">
        <v>64</v>
      </c>
      <c r="F4" s="8" t="s">
        <v>39</v>
      </c>
      <c r="G4" s="8" t="s">
        <v>40</v>
      </c>
      <c r="H4" s="8" t="s">
        <v>41</v>
      </c>
      <c r="I4" s="8" t="s">
        <v>65</v>
      </c>
      <c r="J4" s="8" t="s">
        <v>66</v>
      </c>
      <c r="K4" s="8" t="s">
        <v>67</v>
      </c>
      <c r="L4" s="8" t="s">
        <v>68</v>
      </c>
      <c r="M4" s="13" t="s">
        <v>46</v>
      </c>
      <c r="N4" s="8" t="s">
        <v>58</v>
      </c>
      <c r="O4" s="8" t="s">
        <v>69</v>
      </c>
      <c r="P4" s="8" t="s">
        <v>70</v>
      </c>
      <c r="Q4" s="8" t="s">
        <v>71</v>
      </c>
    </row>
    <row r="5" customFormat="false" ht="15" hidden="false" customHeight="true" outlineLevel="0" collapsed="false">
      <c r="A5" s="8" t="n">
        <v>4</v>
      </c>
      <c r="B5" s="8" t="s">
        <v>16</v>
      </c>
      <c r="C5" s="8" t="s">
        <v>72</v>
      </c>
      <c r="D5" s="8" t="s">
        <v>73</v>
      </c>
      <c r="E5" s="8" t="s">
        <v>74</v>
      </c>
      <c r="F5" s="8" t="s">
        <v>75</v>
      </c>
      <c r="G5" s="8" t="s">
        <v>40</v>
      </c>
      <c r="H5" s="8" t="s">
        <v>41</v>
      </c>
      <c r="I5" s="8" t="s">
        <v>41</v>
      </c>
      <c r="J5" s="8" t="s">
        <v>76</v>
      </c>
      <c r="K5" s="8" t="s">
        <v>77</v>
      </c>
      <c r="L5" s="8" t="s">
        <v>78</v>
      </c>
      <c r="M5" s="13" t="s">
        <v>46</v>
      </c>
      <c r="N5" s="8" t="s">
        <v>58</v>
      </c>
      <c r="O5" s="8" t="s">
        <v>79</v>
      </c>
      <c r="P5" s="8" t="s">
        <v>80</v>
      </c>
      <c r="Q5" s="8" t="s">
        <v>81</v>
      </c>
    </row>
    <row r="6" customFormat="false" ht="15" hidden="false" customHeight="true" outlineLevel="0" collapsed="false">
      <c r="A6" s="8" t="n">
        <v>5</v>
      </c>
      <c r="B6" s="8" t="s">
        <v>16</v>
      </c>
      <c r="C6" s="8" t="s">
        <v>82</v>
      </c>
      <c r="D6" s="8" t="s">
        <v>83</v>
      </c>
      <c r="E6" s="8" t="s">
        <v>84</v>
      </c>
      <c r="F6" s="8" t="s">
        <v>39</v>
      </c>
      <c r="G6" s="8" t="s">
        <v>40</v>
      </c>
      <c r="H6" s="8" t="s">
        <v>41</v>
      </c>
      <c r="I6" s="8" t="s">
        <v>41</v>
      </c>
      <c r="J6" s="8" t="s">
        <v>85</v>
      </c>
      <c r="K6" s="8" t="s">
        <v>86</v>
      </c>
      <c r="L6" s="8" t="s">
        <v>87</v>
      </c>
      <c r="M6" s="14" t="s">
        <v>88</v>
      </c>
      <c r="N6" s="8" t="s">
        <v>89</v>
      </c>
      <c r="O6" s="8" t="s">
        <v>90</v>
      </c>
      <c r="P6" s="8" t="s">
        <v>91</v>
      </c>
      <c r="Q6" s="8" t="s">
        <v>92</v>
      </c>
    </row>
    <row r="7" customFormat="false" ht="15" hidden="false" customHeight="true" outlineLevel="0" collapsed="false">
      <c r="A7" s="8" t="n">
        <v>6</v>
      </c>
      <c r="B7" s="8" t="s">
        <v>16</v>
      </c>
      <c r="C7" s="8" t="s">
        <v>93</v>
      </c>
      <c r="D7" s="8" t="s">
        <v>94</v>
      </c>
      <c r="E7" s="8" t="s">
        <v>95</v>
      </c>
      <c r="F7" s="8" t="s">
        <v>96</v>
      </c>
      <c r="G7" s="8" t="s">
        <v>97</v>
      </c>
      <c r="H7" s="8" t="s">
        <v>41</v>
      </c>
      <c r="I7" s="8" t="s">
        <v>98</v>
      </c>
      <c r="J7" s="8" t="s">
        <v>99</v>
      </c>
      <c r="K7" s="8" t="s">
        <v>100</v>
      </c>
      <c r="L7" s="8" t="s">
        <v>101</v>
      </c>
      <c r="M7" s="13" t="s">
        <v>46</v>
      </c>
      <c r="N7" s="8" t="s">
        <v>102</v>
      </c>
      <c r="O7" s="8" t="s">
        <v>103</v>
      </c>
      <c r="P7" s="8" t="s">
        <v>104</v>
      </c>
      <c r="Q7" s="8" t="s">
        <v>105</v>
      </c>
    </row>
    <row r="8" customFormat="false" ht="15" hidden="false" customHeight="true" outlineLevel="0" collapsed="false">
      <c r="A8" s="8" t="n">
        <v>7</v>
      </c>
      <c r="B8" s="8" t="s">
        <v>16</v>
      </c>
      <c r="C8" s="8" t="s">
        <v>106</v>
      </c>
      <c r="D8" s="8" t="s">
        <v>107</v>
      </c>
      <c r="E8" s="8" t="s">
        <v>108</v>
      </c>
      <c r="F8" s="8" t="s">
        <v>39</v>
      </c>
      <c r="G8" s="8" t="s">
        <v>40</v>
      </c>
      <c r="H8" s="8" t="s">
        <v>41</v>
      </c>
      <c r="I8" s="8" t="s">
        <v>109</v>
      </c>
      <c r="J8" s="8" t="s">
        <v>110</v>
      </c>
      <c r="K8" s="8" t="s">
        <v>111</v>
      </c>
      <c r="L8" s="8" t="s">
        <v>112</v>
      </c>
      <c r="M8" s="13" t="s">
        <v>46</v>
      </c>
      <c r="N8" s="8" t="s">
        <v>102</v>
      </c>
      <c r="O8" s="8" t="s">
        <v>113</v>
      </c>
      <c r="P8" s="8" t="s">
        <v>114</v>
      </c>
      <c r="Q8" s="8" t="s">
        <v>115</v>
      </c>
    </row>
    <row r="9" customFormat="false" ht="15" hidden="false" customHeight="true" outlineLevel="0" collapsed="false">
      <c r="A9" s="8" t="n">
        <v>8</v>
      </c>
      <c r="B9" s="8" t="s">
        <v>16</v>
      </c>
      <c r="C9" s="8" t="s">
        <v>116</v>
      </c>
      <c r="D9" s="8" t="s">
        <v>117</v>
      </c>
      <c r="E9" s="8" t="s">
        <v>118</v>
      </c>
      <c r="F9" s="8" t="s">
        <v>39</v>
      </c>
      <c r="G9" s="8" t="s">
        <v>40</v>
      </c>
      <c r="H9" s="8" t="s">
        <v>41</v>
      </c>
      <c r="I9" s="8" t="s">
        <v>119</v>
      </c>
      <c r="J9" s="8" t="s">
        <v>76</v>
      </c>
      <c r="K9" s="8" t="s">
        <v>120</v>
      </c>
      <c r="L9" s="8" t="s">
        <v>121</v>
      </c>
      <c r="M9" s="13" t="s">
        <v>46</v>
      </c>
      <c r="N9" s="8" t="s">
        <v>122</v>
      </c>
      <c r="O9" s="8" t="s">
        <v>123</v>
      </c>
      <c r="P9" s="8" t="s">
        <v>124</v>
      </c>
      <c r="Q9" s="8" t="s">
        <v>125</v>
      </c>
    </row>
    <row r="10" customFormat="false" ht="15" hidden="false" customHeight="true" outlineLevel="0" collapsed="false">
      <c r="A10" s="8" t="n">
        <v>9</v>
      </c>
      <c r="B10" s="8" t="s">
        <v>16</v>
      </c>
      <c r="C10" s="8" t="s">
        <v>126</v>
      </c>
      <c r="D10" s="8" t="s">
        <v>127</v>
      </c>
      <c r="E10" s="8" t="s">
        <v>128</v>
      </c>
      <c r="F10" s="8" t="s">
        <v>39</v>
      </c>
      <c r="G10" s="8" t="s">
        <v>40</v>
      </c>
      <c r="H10" s="8" t="s">
        <v>41</v>
      </c>
      <c r="I10" s="8" t="s">
        <v>129</v>
      </c>
      <c r="J10" s="8" t="s">
        <v>130</v>
      </c>
      <c r="K10" s="8" t="s">
        <v>131</v>
      </c>
      <c r="L10" s="8" t="s">
        <v>132</v>
      </c>
      <c r="M10" s="13" t="s">
        <v>46</v>
      </c>
      <c r="N10" s="8" t="s">
        <v>133</v>
      </c>
      <c r="O10" s="8" t="s">
        <v>134</v>
      </c>
      <c r="P10" s="8" t="s">
        <v>135</v>
      </c>
      <c r="Q10" s="8" t="s">
        <v>136</v>
      </c>
    </row>
    <row r="11" customFormat="false" ht="15" hidden="false" customHeight="true" outlineLevel="0" collapsed="false">
      <c r="A11" s="8" t="n">
        <v>10</v>
      </c>
      <c r="B11" s="8" t="s">
        <v>16</v>
      </c>
      <c r="C11" s="8" t="s">
        <v>137</v>
      </c>
      <c r="D11" s="8" t="s">
        <v>127</v>
      </c>
      <c r="E11" s="8" t="s">
        <v>138</v>
      </c>
      <c r="F11" s="8" t="s">
        <v>39</v>
      </c>
      <c r="G11" s="8" t="s">
        <v>40</v>
      </c>
      <c r="H11" s="8" t="s">
        <v>41</v>
      </c>
      <c r="I11" s="8" t="s">
        <v>129</v>
      </c>
      <c r="J11" s="8" t="s">
        <v>130</v>
      </c>
      <c r="K11" s="8" t="s">
        <v>139</v>
      </c>
      <c r="L11" s="8" t="s">
        <v>140</v>
      </c>
      <c r="M11" s="15" t="s">
        <v>141</v>
      </c>
      <c r="N11" s="8" t="s">
        <v>142</v>
      </c>
      <c r="O11" s="8" t="s">
        <v>134</v>
      </c>
      <c r="P11" s="8" t="s">
        <v>143</v>
      </c>
      <c r="Q11" s="8" t="s">
        <v>144</v>
      </c>
    </row>
    <row r="12" customFormat="false" ht="15" hidden="false" customHeight="true" outlineLevel="0" collapsed="false">
      <c r="A12" s="8" t="n">
        <v>11</v>
      </c>
      <c r="B12" s="8" t="s">
        <v>16</v>
      </c>
      <c r="C12" s="8" t="s">
        <v>145</v>
      </c>
      <c r="D12" s="8" t="s">
        <v>146</v>
      </c>
      <c r="E12" s="8" t="s">
        <v>147</v>
      </c>
      <c r="F12" s="8" t="s">
        <v>39</v>
      </c>
      <c r="G12" s="8" t="s">
        <v>148</v>
      </c>
      <c r="H12" s="8" t="s">
        <v>41</v>
      </c>
      <c r="I12" s="8" t="s">
        <v>149</v>
      </c>
      <c r="J12" s="8" t="s">
        <v>150</v>
      </c>
      <c r="K12" s="8" t="s">
        <v>151</v>
      </c>
      <c r="L12" s="8" t="s">
        <v>152</v>
      </c>
      <c r="M12" s="13" t="s">
        <v>46</v>
      </c>
      <c r="N12" s="8" t="s">
        <v>153</v>
      </c>
      <c r="O12" s="8" t="s">
        <v>154</v>
      </c>
      <c r="P12" s="8" t="s">
        <v>155</v>
      </c>
      <c r="Q12" s="8" t="s">
        <v>156</v>
      </c>
    </row>
    <row r="13" customFormat="false" ht="15" hidden="false" customHeight="true" outlineLevel="0" collapsed="false">
      <c r="A13" s="8" t="n">
        <v>12</v>
      </c>
      <c r="B13" s="8" t="s">
        <v>16</v>
      </c>
      <c r="C13" s="8" t="s">
        <v>157</v>
      </c>
      <c r="D13" s="8" t="s">
        <v>158</v>
      </c>
      <c r="E13" s="8" t="s">
        <v>159</v>
      </c>
      <c r="F13" s="8" t="s">
        <v>39</v>
      </c>
      <c r="G13" s="8" t="s">
        <v>40</v>
      </c>
      <c r="H13" s="8" t="s">
        <v>41</v>
      </c>
      <c r="I13" s="8" t="s">
        <v>149</v>
      </c>
      <c r="J13" s="8" t="s">
        <v>76</v>
      </c>
      <c r="K13" s="8" t="s">
        <v>160</v>
      </c>
      <c r="L13" s="8" t="s">
        <v>161</v>
      </c>
      <c r="M13" s="13" t="s">
        <v>46</v>
      </c>
      <c r="N13" s="8" t="s">
        <v>162</v>
      </c>
      <c r="O13" s="8" t="s">
        <v>163</v>
      </c>
      <c r="P13" s="8" t="s">
        <v>164</v>
      </c>
      <c r="Q13" s="8" t="s">
        <v>165</v>
      </c>
    </row>
    <row r="14" customFormat="false" ht="15" hidden="false" customHeight="true" outlineLevel="0" collapsed="false">
      <c r="A14" s="8" t="n">
        <v>13</v>
      </c>
      <c r="B14" s="8" t="s">
        <v>16</v>
      </c>
      <c r="C14" s="8" t="s">
        <v>166</v>
      </c>
      <c r="D14" s="8" t="s">
        <v>167</v>
      </c>
      <c r="E14" s="8" t="s">
        <v>168</v>
      </c>
      <c r="F14" s="8" t="s">
        <v>39</v>
      </c>
      <c r="G14" s="8" t="s">
        <v>40</v>
      </c>
      <c r="H14" s="8" t="s">
        <v>41</v>
      </c>
      <c r="I14" s="8" t="s">
        <v>169</v>
      </c>
      <c r="J14" s="8" t="s">
        <v>170</v>
      </c>
      <c r="K14" s="8" t="s">
        <v>171</v>
      </c>
      <c r="L14" s="8" t="s">
        <v>172</v>
      </c>
      <c r="M14" s="13" t="s">
        <v>46</v>
      </c>
      <c r="N14" s="8" t="s">
        <v>173</v>
      </c>
      <c r="O14" s="8" t="s">
        <v>174</v>
      </c>
      <c r="P14" s="8" t="s">
        <v>175</v>
      </c>
      <c r="Q14" s="8" t="s">
        <v>176</v>
      </c>
    </row>
    <row r="15" customFormat="false" ht="15" hidden="false" customHeight="true" outlineLevel="0" collapsed="false">
      <c r="A15" s="8" t="n">
        <v>14</v>
      </c>
      <c r="B15" s="8" t="s">
        <v>16</v>
      </c>
      <c r="C15" s="8" t="s">
        <v>177</v>
      </c>
      <c r="D15" s="8" t="s">
        <v>178</v>
      </c>
      <c r="E15" s="8" t="s">
        <v>179</v>
      </c>
      <c r="F15" s="8" t="s">
        <v>39</v>
      </c>
      <c r="G15" s="8" t="s">
        <v>40</v>
      </c>
      <c r="H15" s="8" t="s">
        <v>41</v>
      </c>
      <c r="I15" s="8" t="s">
        <v>180</v>
      </c>
      <c r="J15" s="8" t="s">
        <v>76</v>
      </c>
      <c r="K15" s="8" t="s">
        <v>181</v>
      </c>
      <c r="L15" s="8" t="s">
        <v>182</v>
      </c>
      <c r="M15" s="13" t="s">
        <v>46</v>
      </c>
      <c r="N15" s="8" t="s">
        <v>183</v>
      </c>
      <c r="O15" s="8" t="s">
        <v>184</v>
      </c>
      <c r="P15" s="8" t="s">
        <v>185</v>
      </c>
      <c r="Q15" s="8" t="s">
        <v>186</v>
      </c>
    </row>
    <row r="16" customFormat="false" ht="15" hidden="false" customHeight="true" outlineLevel="0" collapsed="false">
      <c r="A16" s="8" t="n">
        <v>15</v>
      </c>
      <c r="B16" s="8" t="s">
        <v>16</v>
      </c>
      <c r="C16" s="8" t="s">
        <v>187</v>
      </c>
      <c r="D16" s="8" t="s">
        <v>188</v>
      </c>
      <c r="E16" s="8" t="s">
        <v>189</v>
      </c>
      <c r="F16" s="8" t="s">
        <v>39</v>
      </c>
      <c r="G16" s="8" t="s">
        <v>40</v>
      </c>
      <c r="H16" s="8" t="s">
        <v>41</v>
      </c>
      <c r="I16" s="8" t="s">
        <v>190</v>
      </c>
      <c r="J16" s="8" t="s">
        <v>191</v>
      </c>
      <c r="K16" s="8" t="s">
        <v>192</v>
      </c>
      <c r="L16" s="8" t="s">
        <v>193</v>
      </c>
      <c r="M16" s="13" t="s">
        <v>46</v>
      </c>
      <c r="N16" s="8" t="s">
        <v>173</v>
      </c>
      <c r="O16" s="8" t="s">
        <v>194</v>
      </c>
      <c r="P16" s="8" t="s">
        <v>195</v>
      </c>
      <c r="Q16" s="8" t="s">
        <v>196</v>
      </c>
    </row>
    <row r="17" customFormat="false" ht="15" hidden="false" customHeight="true" outlineLevel="0" collapsed="false">
      <c r="A17" s="8" t="n">
        <v>16</v>
      </c>
      <c r="B17" s="8" t="s">
        <v>12</v>
      </c>
      <c r="C17" s="8" t="s">
        <v>197</v>
      </c>
      <c r="D17" s="8" t="s">
        <v>198</v>
      </c>
      <c r="E17" s="8" t="s">
        <v>199</v>
      </c>
      <c r="F17" s="8" t="s">
        <v>39</v>
      </c>
      <c r="G17" s="8" t="s">
        <v>40</v>
      </c>
      <c r="H17" s="8" t="s">
        <v>41</v>
      </c>
      <c r="I17" s="8" t="s">
        <v>200</v>
      </c>
      <c r="J17" s="8" t="s">
        <v>201</v>
      </c>
      <c r="K17" s="8" t="s">
        <v>202</v>
      </c>
      <c r="L17" s="8" t="s">
        <v>203</v>
      </c>
      <c r="M17" s="13" t="s">
        <v>46</v>
      </c>
      <c r="N17" s="8" t="s">
        <v>204</v>
      </c>
      <c r="O17" s="8" t="s">
        <v>205</v>
      </c>
      <c r="P17" s="8" t="s">
        <v>206</v>
      </c>
      <c r="Q17" s="8" t="s">
        <v>207</v>
      </c>
    </row>
    <row r="18" customFormat="false" ht="15" hidden="false" customHeight="true" outlineLevel="0" collapsed="false">
      <c r="A18" s="8" t="n">
        <v>17</v>
      </c>
      <c r="B18" s="8" t="s">
        <v>12</v>
      </c>
      <c r="C18" s="8" t="s">
        <v>208</v>
      </c>
      <c r="D18" s="8" t="s">
        <v>209</v>
      </c>
      <c r="E18" s="8" t="s">
        <v>210</v>
      </c>
      <c r="F18" s="8" t="s">
        <v>39</v>
      </c>
      <c r="G18" s="8" t="s">
        <v>40</v>
      </c>
      <c r="H18" s="8" t="s">
        <v>41</v>
      </c>
      <c r="I18" s="8" t="s">
        <v>211</v>
      </c>
      <c r="J18" s="8" t="s">
        <v>212</v>
      </c>
      <c r="K18" s="8" t="s">
        <v>213</v>
      </c>
      <c r="L18" s="8" t="s">
        <v>214</v>
      </c>
      <c r="M18" s="13" t="s">
        <v>46</v>
      </c>
      <c r="N18" s="8" t="s">
        <v>215</v>
      </c>
      <c r="O18" s="8" t="s">
        <v>216</v>
      </c>
      <c r="P18" s="8" t="s">
        <v>217</v>
      </c>
      <c r="Q18" s="8" t="s">
        <v>218</v>
      </c>
    </row>
    <row r="19" customFormat="false" ht="15" hidden="false" customHeight="true" outlineLevel="0" collapsed="false">
      <c r="A19" s="8" t="n">
        <v>18</v>
      </c>
      <c r="B19" s="8" t="s">
        <v>12</v>
      </c>
      <c r="C19" s="8" t="s">
        <v>219</v>
      </c>
      <c r="D19" s="8" t="s">
        <v>220</v>
      </c>
      <c r="E19" s="8" t="s">
        <v>221</v>
      </c>
      <c r="F19" s="8" t="s">
        <v>222</v>
      </c>
      <c r="G19" s="8" t="s">
        <v>40</v>
      </c>
      <c r="H19" s="8" t="s">
        <v>223</v>
      </c>
      <c r="I19" s="8" t="s">
        <v>224</v>
      </c>
      <c r="J19" s="8" t="s">
        <v>76</v>
      </c>
      <c r="K19" s="8" t="s">
        <v>225</v>
      </c>
      <c r="L19" s="8" t="s">
        <v>226</v>
      </c>
      <c r="M19" s="13" t="s">
        <v>46</v>
      </c>
      <c r="N19" s="8" t="s">
        <v>227</v>
      </c>
      <c r="O19" s="8" t="s">
        <v>228</v>
      </c>
      <c r="P19" s="8" t="s">
        <v>229</v>
      </c>
      <c r="Q19" s="8" t="s">
        <v>230</v>
      </c>
    </row>
    <row r="20" customFormat="false" ht="15" hidden="false" customHeight="true" outlineLevel="0" collapsed="false">
      <c r="A20" s="8" t="n">
        <v>19</v>
      </c>
      <c r="B20" s="8" t="s">
        <v>12</v>
      </c>
      <c r="C20" s="8" t="s">
        <v>231</v>
      </c>
      <c r="D20" s="8" t="s">
        <v>232</v>
      </c>
      <c r="E20" s="8" t="s">
        <v>233</v>
      </c>
      <c r="F20" s="8" t="s">
        <v>234</v>
      </c>
      <c r="G20" s="8" t="s">
        <v>235</v>
      </c>
      <c r="H20" s="8" t="s">
        <v>236</v>
      </c>
      <c r="I20" s="8" t="s">
        <v>237</v>
      </c>
      <c r="J20" s="8" t="s">
        <v>238</v>
      </c>
      <c r="K20" s="8" t="s">
        <v>239</v>
      </c>
      <c r="L20" s="8" t="s">
        <v>240</v>
      </c>
      <c r="M20" s="15" t="s">
        <v>141</v>
      </c>
      <c r="N20" s="8" t="s">
        <v>142</v>
      </c>
      <c r="O20" s="8" t="s">
        <v>228</v>
      </c>
      <c r="P20" s="8" t="s">
        <v>241</v>
      </c>
      <c r="Q20" s="8" t="s">
        <v>242</v>
      </c>
    </row>
    <row r="21" customFormat="false" ht="15" hidden="false" customHeight="true" outlineLevel="0" collapsed="false">
      <c r="A21" s="8" t="n">
        <v>20</v>
      </c>
      <c r="B21" s="8" t="s">
        <v>14</v>
      </c>
      <c r="C21" s="8" t="s">
        <v>243</v>
      </c>
      <c r="D21" s="8" t="s">
        <v>244</v>
      </c>
      <c r="E21" s="8" t="s">
        <v>245</v>
      </c>
      <c r="F21" s="8" t="s">
        <v>39</v>
      </c>
      <c r="G21" s="8" t="s">
        <v>40</v>
      </c>
      <c r="H21" s="8" t="s">
        <v>246</v>
      </c>
      <c r="I21" s="8" t="s">
        <v>247</v>
      </c>
      <c r="J21" s="8" t="s">
        <v>248</v>
      </c>
      <c r="K21" s="8" t="s">
        <v>249</v>
      </c>
      <c r="L21" s="8" t="s">
        <v>250</v>
      </c>
      <c r="M21" s="15" t="s">
        <v>141</v>
      </c>
      <c r="N21" s="8" t="s">
        <v>251</v>
      </c>
      <c r="O21" s="8" t="s">
        <v>252</v>
      </c>
      <c r="P21" s="8" t="s">
        <v>253</v>
      </c>
      <c r="Q21" s="8" t="s">
        <v>254</v>
      </c>
    </row>
    <row r="22" customFormat="false" ht="15" hidden="false" customHeight="false" outlineLevel="0" collapsed="false">
      <c r="A22" s="8" t="n">
        <v>21</v>
      </c>
      <c r="B22" s="8" t="s">
        <v>12</v>
      </c>
      <c r="C22" s="8" t="s">
        <v>255</v>
      </c>
      <c r="D22" s="8" t="s">
        <v>256</v>
      </c>
      <c r="E22" s="8" t="s">
        <v>257</v>
      </c>
      <c r="F22" s="8" t="s">
        <v>258</v>
      </c>
      <c r="G22" s="8" t="s">
        <v>259</v>
      </c>
      <c r="H22" s="8" t="s">
        <v>260</v>
      </c>
      <c r="I22" s="8" t="s">
        <v>261</v>
      </c>
      <c r="J22" s="8" t="s">
        <v>262</v>
      </c>
      <c r="K22" s="8" t="s">
        <v>263</v>
      </c>
      <c r="L22" s="8" t="s">
        <v>264</v>
      </c>
      <c r="M22" s="15" t="s">
        <v>141</v>
      </c>
      <c r="N22" s="8" t="s">
        <v>265</v>
      </c>
      <c r="O22" s="8" t="s">
        <v>266</v>
      </c>
      <c r="P22" s="8" t="s">
        <v>267</v>
      </c>
      <c r="Q22" s="8" t="s">
        <v>268</v>
      </c>
    </row>
    <row r="23" customFormat="false" ht="15" hidden="false" customHeight="false" outlineLevel="0" collapsed="false">
      <c r="A23" s="8" t="n">
        <v>22</v>
      </c>
      <c r="B23" s="8" t="s">
        <v>12</v>
      </c>
      <c r="C23" s="8" t="s">
        <v>269</v>
      </c>
      <c r="D23" s="8" t="s">
        <v>270</v>
      </c>
      <c r="E23" s="8" t="s">
        <v>271</v>
      </c>
      <c r="F23" s="8" t="s">
        <v>260</v>
      </c>
      <c r="G23" s="8" t="s">
        <v>260</v>
      </c>
      <c r="H23" s="8" t="s">
        <v>260</v>
      </c>
      <c r="I23" s="8" t="s">
        <v>260</v>
      </c>
      <c r="J23" s="8" t="s">
        <v>272</v>
      </c>
      <c r="K23" s="8" t="s">
        <v>273</v>
      </c>
      <c r="L23" s="8" t="s">
        <v>274</v>
      </c>
      <c r="M23" s="15" t="s">
        <v>141</v>
      </c>
      <c r="N23" s="8" t="s">
        <v>265</v>
      </c>
      <c r="O23" s="8" t="s">
        <v>275</v>
      </c>
      <c r="P23" s="8" t="s">
        <v>276</v>
      </c>
      <c r="Q23" s="8" t="s">
        <v>277</v>
      </c>
    </row>
    <row r="24" customFormat="false" ht="15" hidden="false" customHeight="false" outlineLevel="0" collapsed="false">
      <c r="A24" s="8" t="n">
        <v>23</v>
      </c>
      <c r="B24" s="8" t="s">
        <v>16</v>
      </c>
      <c r="C24" s="8" t="s">
        <v>278</v>
      </c>
      <c r="D24" s="8" t="s">
        <v>279</v>
      </c>
      <c r="E24" s="8" t="s">
        <v>280</v>
      </c>
      <c r="F24" s="8" t="s">
        <v>281</v>
      </c>
      <c r="G24" s="8" t="s">
        <v>260</v>
      </c>
      <c r="H24" s="8" t="s">
        <v>260</v>
      </c>
      <c r="I24" s="8" t="s">
        <v>282</v>
      </c>
      <c r="J24" s="8" t="s">
        <v>262</v>
      </c>
      <c r="K24" s="8" t="s">
        <v>283</v>
      </c>
      <c r="L24" s="8" t="s">
        <v>284</v>
      </c>
      <c r="M24" s="15" t="s">
        <v>141</v>
      </c>
      <c r="N24" s="8" t="s">
        <v>265</v>
      </c>
      <c r="O24" s="8" t="s">
        <v>285</v>
      </c>
      <c r="P24" s="8" t="s">
        <v>286</v>
      </c>
      <c r="Q24" s="8" t="s">
        <v>287</v>
      </c>
    </row>
    <row r="25" customFormat="false" ht="15" hidden="false" customHeight="false" outlineLevel="0" collapsed="false">
      <c r="A25" s="8" t="n">
        <v>24</v>
      </c>
      <c r="B25" s="8" t="s">
        <v>16</v>
      </c>
      <c r="C25" s="8" t="s">
        <v>288</v>
      </c>
      <c r="D25" s="8" t="s">
        <v>289</v>
      </c>
      <c r="E25" s="8" t="s">
        <v>290</v>
      </c>
      <c r="F25" s="8" t="s">
        <v>260</v>
      </c>
      <c r="G25" s="8" t="s">
        <v>260</v>
      </c>
      <c r="H25" s="8" t="s">
        <v>260</v>
      </c>
      <c r="I25" s="8" t="s">
        <v>260</v>
      </c>
      <c r="J25" s="8" t="s">
        <v>272</v>
      </c>
      <c r="K25" s="8" t="s">
        <v>291</v>
      </c>
      <c r="L25" s="8" t="s">
        <v>292</v>
      </c>
      <c r="M25" s="14" t="s">
        <v>88</v>
      </c>
      <c r="N25" s="8" t="s">
        <v>265</v>
      </c>
      <c r="O25" s="8" t="s">
        <v>90</v>
      </c>
      <c r="P25" s="8" t="s">
        <v>293</v>
      </c>
      <c r="Q25" s="8" t="s">
        <v>294</v>
      </c>
    </row>
  </sheetData>
  <autoFilter ref="A1:Q25"/>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2026-09-28T06:29:36Z</dcterms:created>
  <dc:creator>openpyxl</dc:creator>
  <dc:description/>
  <dc:language>en-US</dc:language>
  <cp:lastModifiedBy/>
  <dcterms:modified xsi:type="dcterms:W3CDTF">2026-10-21T11:31:02Z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