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ive notifications" sheetId="2" state="visible" r:id="rId3"/>
  </sheets>
  <definedNames>
    <definedName function="false" hidden="true" localSheetId="1" name="_xlnm._FilterDatabase" vbProcedure="false">'Live notifications'!$A$1:$Q$51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<sst xmlns="http://schemas.openxmlformats.org/spreadsheetml/2006/main" count="882" uniqueCount="488">
  <si>
    <t xml:space="preserve">Live Exam Notifications - AP State &amp; Central</t>
  </si>
  <si>
    <t xml:space="preserve">Currently open and recently closed recruitment and entrance-exam notifications, verified against official portals. Last verified 21 October 2026; refreshed automatically twice a week.</t>
  </si>
  <si>
    <t xml:space="preserve">Notes on the data</t>
  </si>
  <si>
    <t xml:space="preserve">Age Min / Age Max are taken directly from each notification. Where a notice states only a birth-date window, or the age clause could not be retrieved, they are left blank (the 'Age Limit (as notified)' column shows what the notice says) rather than guessed.</t>
  </si>
  <si>
    <t xml:space="preserve">Many AP entries are brief notifications; their detailed notices (with age limits, qualifications and fees) are due shortly and will be filled in by the next scheduled refresh.</t>
  </si>
  <si>
    <t xml:space="preserve">Status reflects the position on 21 October 2026: green = open, blue = upcoming, grey = dates to be announced, red = recently closed.</t>
  </si>
  <si>
    <t xml:space="preserve">Always confirm on the official link before applying. Information compilation, not an endorsement.</t>
  </si>
  <si>
    <t xml:space="preserve">Counts</t>
  </si>
  <si>
    <t xml:space="preserve">Level</t>
  </si>
  <si>
    <t xml:space="preserve">Category</t>
  </si>
  <si>
    <t xml:space="preserve">Status</t>
  </si>
  <si>
    <t xml:space="preserve">Central govt</t>
  </si>
  <si>
    <t xml:space="preserve">Andhra Pradesh</t>
  </si>
  <si>
    <t xml:space="preserve">Open now</t>
  </si>
  <si>
    <t xml:space="preserve">Total</t>
  </si>
  <si>
    <t xml:space="preserve">Conducting Body</t>
  </si>
  <si>
    <t xml:space="preserve">Notification</t>
  </si>
  <si>
    <t xml:space="preserve">Posts / Stream</t>
  </si>
  <si>
    <t xml:space="preserve">Qualification</t>
  </si>
  <si>
    <t xml:space="preserve">Age Limit (as notified)</t>
  </si>
  <si>
    <t xml:space="preserve">Age Min</t>
  </si>
  <si>
    <t xml:space="preserve">Age Max</t>
  </si>
  <si>
    <t xml:space="preserve">Age Relaxations</t>
  </si>
  <si>
    <t xml:space="preserve">Application Window</t>
  </si>
  <si>
    <t xml:space="preserve">Deadline</t>
  </si>
  <si>
    <t xml:space="preserve">Exam Date</t>
  </si>
  <si>
    <t xml:space="preserve">Official Link</t>
  </si>
  <si>
    <t xml:space="preserve">Last Verified</t>
  </si>
  <si>
    <t xml:space="preserve">Notes</t>
  </si>
  <si>
    <t xml:space="preserve">Central Govt</t>
  </si>
  <si>
    <t xml:space="preserve">UPSC</t>
  </si>
  <si>
    <t xml:space="preserve">Advertisement No. 12/2026 - Junior Technical Officer (Sugar Technology); Assistant Legislative Counsel; Law Officer; Specialist Grade II (Cardiology)</t>
  </si>
  <si>
    <t xml:space="preserve">recruitment</t>
  </si>
  <si>
    <t xml:space="preserve">13 posts (Junior Technical Officer 1; Assistant Legislative Counsel 8; Law Officer 3; Specialist Grade II Cardiology 1)</t>
  </si>
  <si>
    <t xml:space="preserve">Degree in Science or Engineering with Associateship/PG Diploma in Sugar Technology; Degree in Law with 7 years judicial/legal experience; MBBS with DM Cardiology (post-wise)</t>
  </si>
  <si>
    <t xml:space="preserve">AGE: 38 years for OBC (Junior Technical Officer); 40 years for UR/EWS, 43 years for OBC and 45 years for SC (Assistant Legislative Counsel); 30 years for UR and 33 years for OBC (Law Officer); 48 years for OBC (Specialist Grade II Cardiology)</t>
  </si>
  <si>
    <t xml:space="preserve">ns</t>
  </si>
  <si>
    <t xml:space="preserve">48</t>
  </si>
  <si>
    <t xml:space="preserve">SC/ST up to 5 years; OBC up to 3 years; PwBD up to 10 years; Ex-servicemen 5 years; Central/UT Government servants up to 5 years</t>
  </si>
  <si>
    <t xml:space="preserve">26-09-2026 to 16-10-2026</t>
  </si>
  <si>
    <t xml:space="preserve">2026-10-16</t>
  </si>
  <si>
    <t xml:space="preserve">https://www.upsc.gov.in/sites/default/files/AdvtNo-12-2026-Engl-250926.pdf</t>
  </si>
  <si>
    <t xml:space="preserve">closed</t>
  </si>
  <si>
    <t xml:space="preserve">2026-10-21</t>
  </si>
  <si>
    <t xml:space="preserve">Eligibility determined as on closing date 16-10-2026; shortlisting/Recruitment Test and interview; age limits vary by post and the max shown is the highest across posts</t>
  </si>
  <si>
    <t xml:space="preserve">Special Advertisement No. 52/2026 - Assistant Provident Fund Commissioner in EPFO, Ministry of Labour &amp; Employment</t>
  </si>
  <si>
    <t xml:space="preserve">80 vacancies (UR-29, EWS-08, OBC-18, SC-15, ST-10; PwBD-03)</t>
  </si>
  <si>
    <t xml:space="preserve">not stated in sources consulted</t>
  </si>
  <si>
    <t xml:space="preserve">Reservation for SC/ST/OBC/EWS/PwBD as per Government norms (relaxation details as per the notice)</t>
  </si>
  <si>
    <t xml:space="preserve">22-08-2026 to 11-09-2026</t>
  </si>
  <si>
    <t xml:space="preserve">2026-09-11</t>
  </si>
  <si>
    <t xml:space="preserve">https://www.upsc.gov.in/sites/default/files/AdvtNo-52-2026-Special-Engl-210826.pdf</t>
  </si>
  <si>
    <t xml:space="preserve">Recruitment Test (paper based) for shortlisting; interview scheduled on 20-12-2026; fee Rs.25 (Female/SC/ST/PwBD exempt)</t>
  </si>
  <si>
    <t xml:space="preserve">Advertisement No. 05/2026 - Scientist-B (Ministry of Earth Sciences/IMD) and Assistant Director Grade I/II (IEDS), Ministry of MSME</t>
  </si>
  <si>
    <t xml:space="preserve">46 Scientist-B posts (Atmospheric Sciences 7, General Meteorology 30, Instrumentation 9) and Assistant Director (IEDS) posts in MSME</t>
  </si>
  <si>
    <t xml:space="preserve">Master's Degree in Science / Engineering and Technology (streams as specified); Bachelor's Degree in Engineering/Technology for Instrumentation</t>
  </si>
  <si>
    <t xml:space="preserve">AGE: 35 years for UR/EWS and 40 years for SC (Scientist-B Atmospheric Sciences); 35 years for UR/EWS, 38 years for OBC and 40 years for SC/ST (Scientist-B General Meteorology); age further relaxable up to 10 years for PwBD</t>
  </si>
  <si>
    <t xml:space="preserve">40</t>
  </si>
  <si>
    <t xml:space="preserve">SC/ST 5 years; OBC 3 years; PwBD up to 10 years; Central Government Employees/Ex-Servicemen as per rules</t>
  </si>
  <si>
    <t xml:space="preserve">23-05-2026 to 12-06-2026</t>
  </si>
  <si>
    <t xml:space="preserve">2026-06-12</t>
  </si>
  <si>
    <t xml:space="preserve">https://www.upsc.gov.in/</t>
  </si>
  <si>
    <t xml:space="preserve">UPSC recruitment notices page lists the Advt 05/2026 posts with an upload/addendum date of 01-10-2026; original application window was 23-05-2026 to 12-06-2026; eligibility as on closing date</t>
  </si>
  <si>
    <t xml:space="preserve">SSC</t>
  </si>
  <si>
    <t xml:space="preserve">Combined Higher Secondary (10+2) Level Examination, 2026 (CHSL)</t>
  </si>
  <si>
    <t xml:space="preserve">approx. 2536 tentative vacancies - Lower Division Clerk/Junior Secretariat Assistant, Data Entry Operator (DEO) and DEO Grade A</t>
  </si>
  <si>
    <t xml:space="preserve">12th Standard pass (Science stream with Mathematics for DEO in specified ministries) from a recognised Board</t>
  </si>
  <si>
    <t xml:space="preserve">Age limit for the posts is 18-27 years i.e. Candidates born not before 02-08-1999 and not later than 01-08-2008 are eligible to apply</t>
  </si>
  <si>
    <t xml:space="preserve">18</t>
  </si>
  <si>
    <t xml:space="preserve">27</t>
  </si>
  <si>
    <t xml:space="preserve">SC/ST 5 years; OBC 3 years; PwBD 10 years; PwBD (OBC) 13 years; PwBD (SC/ST) 15 years; ESM 3 years after deduction of military service; others as per notice</t>
  </si>
  <si>
    <t xml:space="preserve">07-09-2026 to 07-10-2026</t>
  </si>
  <si>
    <t xml:space="preserve">2026-10-07</t>
  </si>
  <si>
    <t xml:space="preserve">Tier-I and Tier-II schedules to be notified later</t>
  </si>
  <si>
    <t xml:space="preserve">https://ssc.gov.in/api/attachment/uploads/masterData/NoticeBoards/Notice_of_adv_chsl_2026.pdf</t>
  </si>
  <si>
    <t xml:space="preserve">Fee Rs.100 (Women/SC/ST/PwBD/ESM exempt); correction window 14-10-2026 to 16-10-2026; age reckoned as on 01-08-2026</t>
  </si>
  <si>
    <t xml:space="preserve">Combined Graduate Level Examination, 2026 (CGL)</t>
  </si>
  <si>
    <t xml:space="preserve">various Group B and Group C posts (tentative vacancy list total 10,731 as on 24-09-2026)</t>
  </si>
  <si>
    <t xml:space="preserve">Bachelor's Degree from a recognised University (post-wise qualifications for Junior Statistical Officer etc.)</t>
  </si>
  <si>
    <t xml:space="preserve">Age limit (As on 01-08-2026): For the posts for which age limit is 18-27 years, 20-30 years, 18-30 years and 18-32 years (post-wise)</t>
  </si>
  <si>
    <t xml:space="preserve">32</t>
  </si>
  <si>
    <t xml:space="preserve">SC/ST 5 years; OBC 3 years; PwBD 10 years; PwBD (OBC) 13 years; PwBD (SC/ST) 15 years; ESM 3 years; others as per notice</t>
  </si>
  <si>
    <t xml:space="preserve">21-05-2026 to 22-06-2026 (re-opened 23-06-2026 to 25-06-2026)</t>
  </si>
  <si>
    <t xml:space="preserve">2026-06-25</t>
  </si>
  <si>
    <t xml:space="preserve">Tier-I August-September 2026; Tier-II December 2026</t>
  </si>
  <si>
    <t xml:space="preserve">https://ssc.gov.in/api/attachment/uploads/masterData/NoticeBoards/Notice_of_adv_cgl_2026.pdf</t>
  </si>
  <si>
    <t xml:space="preserve">Application window re-opened 23-06-2026 to 25-06-2026; fee payment up to 26-06-2026; correction window 01-07-2026 to 03-07-2026; max 32 applies to JSO while most posts are 18-30</t>
  </si>
  <si>
    <t xml:space="preserve">SSC (for Indian Coast Guard, Ministry of Defence)</t>
  </si>
  <si>
    <t xml:space="preserve">Coast Guard Enrolled Persons Test (CGEPT) - Batches 01/2027 and 02/2027</t>
  </si>
  <si>
    <t xml:space="preserve">approx. 365 vacancies - Navik (General Duty), Navik (Domestic Branch), Yantrik (Electrical/Mechanical/Electronics) and Hygienist-I</t>
  </si>
  <si>
    <t xml:space="preserve">as per post (10th/12th pass with prescribed subjects/marks; Diploma for Yantrik)</t>
  </si>
  <si>
    <t xml:space="preserve">Age - post and batch-wise birth-date windows: Navik (GD) 01/27 and 02/27 - born between 01 Nov 2005 and 01 May 2009; Yantrik 01/27 - born between 01 May 2005 and 01 May 2009; Navik (DB) 02/27 - born between 01 Nov 2005 and 01 Oct 2009; Hygienist-I 02/27 - born between 01 Nov 2002 and 01 Oct 2009</t>
  </si>
  <si>
    <t xml:space="preserve">OBC 3 years; SC/ST 5 years</t>
  </si>
  <si>
    <t xml:space="preserve">06-10-2026 (1100 hrs) to 21-10-2026 (1730 hrs)</t>
  </si>
  <si>
    <t xml:space="preserve">Stage-I tentatively early/mid November 2026</t>
  </si>
  <si>
    <t xml:space="preserve">https://ssc.gov.in/api/attachment/uploads/masterData/NoticeBoards/advertisement_06102026.pdf</t>
  </si>
  <si>
    <t xml:space="preserve">open</t>
  </si>
  <si>
    <t xml:space="preserve">Applications accepted online by SSC; fee Rs.550 (SC/ST exempt); the notice states birth-date windows rather than a numeric age range</t>
  </si>
  <si>
    <t xml:space="preserve">Railway Recruitment Boards (Ministry of Railways)</t>
  </si>
  <si>
    <t xml:space="preserve">CEN No. 06/2026 - Non-Technical Popular Categories (Graduate) - NTPC Graduate</t>
  </si>
  <si>
    <t xml:space="preserve">3548 posts (Chief Commercial cum Ticket Supervisor 127; Goods Train Manager 2750; Junior Accounts Assistant cum Typist 300; Senior Clerk cum Typist 371)</t>
  </si>
  <si>
    <t xml:space="preserve">Graduate (Bachelor's Degree) in any discipline from a recognised University</t>
  </si>
  <si>
    <t xml:space="preserve">Age (as on 01.01.2027): 18-33 years for UR/EWS (born not earlier than 02.01.1994 and not later than 01.01.2009)</t>
  </si>
  <si>
    <t xml:space="preserve">33</t>
  </si>
  <si>
    <t xml:space="preserve">SC/ST 5 years; OBC-NCL 3 years; PwBD 10/13/15 years (UR and EWS / OBC / SC and ST); Ex-servicemen as per rules; others as per CEN</t>
  </si>
  <si>
    <t xml:space="preserve">08-10-2026 to 06-11-2026</t>
  </si>
  <si>
    <t xml:space="preserve">2026-11-06</t>
  </si>
  <si>
    <t xml:space="preserve">CBT-1 and CBT-2 (dates to be notified)</t>
  </si>
  <si>
    <t xml:space="preserve">https://www.rrbapply.gov.in</t>
  </si>
  <si>
    <t xml:space="preserve">Fee Rs.500 (Rs.250 for SC/ST/ESM/PwBD/Female/Transgender/Minority/EBC, refundable on appearing CBT-1); modification window 09-11-2026 to 18-11-2026; max age 36 for OBC-NCL and 38 for SC/ST</t>
  </si>
  <si>
    <t xml:space="preserve">CEN No. 07/2026 - Non-Technical Popular Categories (Undergraduate) - NTPC UG</t>
  </si>
  <si>
    <t xml:space="preserve">approx. 1688 tentative posts (Pay Level 2 and Level 3)</t>
  </si>
  <si>
    <t xml:space="preserve">10+2 (Intermediate) or equivalent (post-wise)</t>
  </si>
  <si>
    <t xml:space="preserve">as per CEN (SC/ST/OBC-NCL/PwBD/ExSM relaxations)</t>
  </si>
  <si>
    <t xml:space="preserve">15-10-2026 to 13-11-2026</t>
  </si>
  <si>
    <t xml:space="preserve">2026-11-13</t>
  </si>
  <si>
    <t xml:space="preserve">Indicative recruitment notice for CEN 07/2026; detailed notification to follow; opening and closing dates are tentative</t>
  </si>
  <si>
    <t xml:space="preserve">CEN No. 05/2026 - Paramedical Categories</t>
  </si>
  <si>
    <t xml:space="preserve">approx. 590 vacancies (Staff Nurse, Lab Superintendent, Pharmacist, Dietitian, Health and Malaria Inspector and others)</t>
  </si>
  <si>
    <t xml:space="preserve">post-wise (e.g. B.Sc Nursing/GNM for Staff Nurse)</t>
  </si>
  <si>
    <t xml:space="preserve">closed on 14-10-2026</t>
  </si>
  <si>
    <t xml:space="preserve">2026-10-14</t>
  </si>
  <si>
    <t xml:space="preserve">Applications closed 14-10-2026</t>
  </si>
  <si>
    <t xml:space="preserve">CEN No. 04/2026 - Junior Engineer, Depot Material Superintendent and Chemical &amp; Metallurgical Assistant</t>
  </si>
  <si>
    <t xml:space="preserve">3993 vacancies (Junior Engineer and Depot Material Superintendent)</t>
  </si>
  <si>
    <t xml:space="preserve">Diploma/Degree in relevant Engineering discipline (post-wise)</t>
  </si>
  <si>
    <t xml:space="preserve">Age limit 18-33 years</t>
  </si>
  <si>
    <t xml:space="preserve">SC/ST 5 years; OBC-NCL 3 years; PwBD 10/13/15 years; ExSM as per rules</t>
  </si>
  <si>
    <t xml:space="preserve">14-08-2026 to 13-09-2026</t>
  </si>
  <si>
    <t xml:space="preserve">2026-09-13</t>
  </si>
  <si>
    <t xml:space="preserve">CBT (to be notified)</t>
  </si>
  <si>
    <t xml:space="preserve">Fee payment last date 15-09-2026; fee Rs.500 (Rs.250 for SC/ST/ESM/PwBD/Female/Transgender/Minority/EBC)</t>
  </si>
  <si>
    <t xml:space="preserve">IBPS</t>
  </si>
  <si>
    <t xml:space="preserve">Common Recruitment Process for Probationary Officers / Management Trainees (CRP PO/MT-XVI) - vacancies of 2027-28</t>
  </si>
  <si>
    <t xml:space="preserve">Officers (Probationary Officers / Management Trainees) in participating public sector banks</t>
  </si>
  <si>
    <t xml:space="preserve">Bachelor's Degree in any discipline from a recognised University</t>
  </si>
  <si>
    <t xml:space="preserve">SC/ST/PwBD/OBC/EWS/ExSM relaxations as per the notification</t>
  </si>
  <si>
    <t xml:space="preserve">01-07-2026 to 26-07-2026</t>
  </si>
  <si>
    <t xml:space="preserve">2026-07-26</t>
  </si>
  <si>
    <t xml:space="preserve">Preliminary examination August 2026; Main examination October 2026</t>
  </si>
  <si>
    <t xml:space="preserve">https://ibpsreg.ibps.in/crppoxvijun26/</t>
  </si>
  <si>
    <t xml:space="preserve">Fee Rs.850 (Rs.175 for SC/ST/PwBD); edit window for 2 days after close of registration</t>
  </si>
  <si>
    <t xml:space="preserve">Common Recruitment Process for Specialist Officers (CRP SPL-XVI) - vacancies of 2027-28</t>
  </si>
  <si>
    <t xml:space="preserve">745 Specialist Officer (Scale I) posts - IT Officer, Agricultural Field Officer, Rajbhasha Adhikari, Law Officer, HR/Personnel Officer, Marketing Officer</t>
  </si>
  <si>
    <t xml:space="preserve">post-wise (Engineering degree / MBA / Law / Agriculture etc.)</t>
  </si>
  <si>
    <t xml:space="preserve">SC/ST/PwBD/OBC/EWS relaxations as per the notification</t>
  </si>
  <si>
    <t xml:space="preserve">01-07-2026 to 21-07-2026</t>
  </si>
  <si>
    <t xml:space="preserve">2026-07-21</t>
  </si>
  <si>
    <t xml:space="preserve">Preliminary examination 29-08-2026; Main examination 01-11-2026</t>
  </si>
  <si>
    <t xml:space="preserve">https://www.ibps.in/wp-content/uploads/Detailed-Notification-CRP-SPL-XVI_Final_V1_30.06.2026.pdf</t>
  </si>
  <si>
    <t xml:space="preserve">Fee Rs.850 (Rs.175 for SC/ST/PwBD); result status of Online Preliminary Examination announced 15-10-2026</t>
  </si>
  <si>
    <t xml:space="preserve">Common Recruitment Process for Customer Service Associates (CRP CSA-XVI) - vacancies of 2027-28</t>
  </si>
  <si>
    <t xml:space="preserve">Customer Service Associates (clerical cadre) in participating public sector banks</t>
  </si>
  <si>
    <t xml:space="preserve">Bachelor's Degree in any discipline</t>
  </si>
  <si>
    <t xml:space="preserve">SC/ST/PwBD/ESM/DESM/OBC/EWS relaxations as per the notification</t>
  </si>
  <si>
    <t xml:space="preserve">01-08-2026 to 21-08-2026</t>
  </si>
  <si>
    <t xml:space="preserve">2026-08-21</t>
  </si>
  <si>
    <t xml:space="preserve">Preliminary examination October 2026; Main examination December 2026</t>
  </si>
  <si>
    <t xml:space="preserve">https://www.ibps.in/wp-content/uploads/Notification_CRP_CSA_XVI-Final.pdf</t>
  </si>
  <si>
    <t xml:space="preserve">Fee Rs.850 (Rs.175 for SC/ST/PwBD/ESM/DESM)</t>
  </si>
  <si>
    <t xml:space="preserve">Common Recruitment Process for Regional Rural Banks (CRP-RRBs-XV) - Group A Officers and Office Assistants</t>
  </si>
  <si>
    <t xml:space="preserve">Officers (Scale I/II/III) and Office Assistant (Multipurpose) in Regional Rural Banks</t>
  </si>
  <si>
    <t xml:space="preserve">post-wise (Graduate/Professional degree as specified)</t>
  </si>
  <si>
    <t xml:space="preserve">as per the notification (SC/ST/OBC/PwBD/EWS/ExSM)</t>
  </si>
  <si>
    <t xml:space="preserve">Notification issued 01-09-2026 (window notification 31-08-2026)</t>
  </si>
  <si>
    <t xml:space="preserve">https://www.ibps.in/index.php/rural-bank-xv/</t>
  </si>
  <si>
    <t xml:space="preserve">Updated vacancy and corrigendum notices issued 09-09-2026, 15-09-2026, 21-09-2026 and 25-09-2026</t>
  </si>
  <si>
    <t xml:space="preserve">SBI</t>
  </si>
  <si>
    <t xml:space="preserve">Recruitment of Junior Associates (Customer Support &amp; Sales) - Advertisement No. CRPD/CR/2026-27/17</t>
  </si>
  <si>
    <t xml:space="preserve">7680 regular vacancies (plus backlog vacancies) across circles/states</t>
  </si>
  <si>
    <t xml:space="preserve">Graduation in any discipline from a recognised University (integrated dual degree etc. as specified)</t>
  </si>
  <si>
    <t xml:space="preserve">SC/ST/PwBD/XS relaxation as per Bank rules</t>
  </si>
  <si>
    <t xml:space="preserve">11-08-2026 to 31-08-2026</t>
  </si>
  <si>
    <t xml:space="preserve">2026-08-31</t>
  </si>
  <si>
    <t xml:space="preserve">Preliminary examination tentatively September 2026; Main examination tentatively November 2026</t>
  </si>
  <si>
    <t xml:space="preserve">https://sbi.bank.in/web/careers/current-openings</t>
  </si>
  <si>
    <t xml:space="preserve">Fee Rs.750 (Nil for SC/ST/PwBD/XS/DXS); test of specified opted local language after Main examination</t>
  </si>
  <si>
    <t xml:space="preserve">Engagement of Specialist Cadre Officers on Contract Basis - Advertisement Nos. CRPD/SCO/2026-27/24 and CRPD/SCO/2026-27/25</t>
  </si>
  <si>
    <t xml:space="preserve">Specialist Cadre Officers on contract basis (including Digital Marketing - Deputy Vice President and Content Specialist)</t>
  </si>
  <si>
    <t xml:space="preserve">post-wise (Bachelor's degree with prescribed experience)</t>
  </si>
  <si>
    <t xml:space="preserve">33-45 years for Deputy Vice President; 25-40 years for Content Specialist (as on 31-08-2026)</t>
  </si>
  <si>
    <t xml:space="preserve">25</t>
  </si>
  <si>
    <t xml:space="preserve">45</t>
  </si>
  <si>
    <t xml:space="preserve">as per Bank rules</t>
  </si>
  <si>
    <t xml:space="preserve">30-09-2026 to 21-10-2026</t>
  </si>
  <si>
    <t xml:space="preserve">Age range shown covers the posts advertised under Advt No. 24 (Digital Marketing); selection by shortlisting and interview</t>
  </si>
  <si>
    <t xml:space="preserve">Engagement of Specialist Cadre Officers on Fixed Term Employment Basis - Advertisement No. CRPD/SCO/2026-27/30</t>
  </si>
  <si>
    <t xml:space="preserve">Specialist Cadre Officers on fixed term employment (including AI-specific posts such as Chief AI Officer)</t>
  </si>
  <si>
    <t xml:space="preserve">post-wise</t>
  </si>
  <si>
    <t xml:space="preserve">19-10-2026 to 09-11-2026</t>
  </si>
  <si>
    <t xml:space="preserve">2026-11-09</t>
  </si>
  <si>
    <t xml:space="preserve">Includes Chief Artificial Intelligence Officer and other AI-specific posts</t>
  </si>
  <si>
    <t xml:space="preserve">RBI</t>
  </si>
  <si>
    <t xml:space="preserve">Direct Recruitment for Officers in Grade B (DR) (General/DEPR/DSIM) - Panel Year 2026 - Advt. No. RBISB/DA/01/2026-27</t>
  </si>
  <si>
    <t xml:space="preserve">60 vacancies (Officers in Grade B General Cadre 40; DEPR Cadre 10; DSIM Cadre 10)</t>
  </si>
  <si>
    <t xml:space="preserve">Graduation in any discipline with minimum 60% marks (50% for SC/ST/PwBD) or Master's Degree with minimum 55% marks (post-wise)</t>
  </si>
  <si>
    <t xml:space="preserve">A candidate must have attained the age of 21 years and must not have attained the age of 30 years on April 01, 2026 i.e. he/she must have been born not earlier than April 02, 1996 and not later than April 01, 2005</t>
  </si>
  <si>
    <t xml:space="preserve">21</t>
  </si>
  <si>
    <t xml:space="preserve">30</t>
  </si>
  <si>
    <t xml:space="preserve">SC/ST up to 5 years; OBC up to 3 years; PwBD up to 10 years (Gen/EWS), 13 years (OBC), 15 years (SC/ST); ex-servicemen and others as per the notice</t>
  </si>
  <si>
    <t xml:space="preserve">29-04-2026 to 20-05-2026</t>
  </si>
  <si>
    <t xml:space="preserve">2026-05-20</t>
  </si>
  <si>
    <t xml:space="preserve">Phase-I 13-06-2026; Phase-II 25-07-2026</t>
  </si>
  <si>
    <t xml:space="preserve">https://www.rbi.org.in</t>
  </si>
  <si>
    <t xml:space="preserve">Fee Rs.850 plus GST (Rs.100 plus GST for SC/ST/PwBD); final result for Panel Year 2026</t>
  </si>
  <si>
    <t xml:space="preserve">NTA (for UGC)</t>
  </si>
  <si>
    <t xml:space="preserve">UGC-NET December 2026 examination</t>
  </si>
  <si>
    <t xml:space="preserve">entrance-exam</t>
  </si>
  <si>
    <t xml:space="preserve">UGC-NET for 87 subjects in Computer Based Test (CBT) mode - eligibility for JRF/Assistant Professor and PhD admission</t>
  </si>
  <si>
    <t xml:space="preserve">Master's degree (as per UGC-NET eligibility norms)</t>
  </si>
  <si>
    <t xml:space="preserve">No age limit prescribed for Assistant Professor; for JRF, upper age limit as per UGC norms (not stated in this notice)</t>
  </si>
  <si>
    <t xml:space="preserve">as per UGC-NET norms (SC/ST/PwBD/OBC/third gender fee concessions)</t>
  </si>
  <si>
    <t xml:space="preserve">08-10-2026 to 28-10-2026 (late fee window 29-10-2026 to 31-10-2026)</t>
  </si>
  <si>
    <t xml:space="preserve">2026-10-28</t>
  </si>
  <si>
    <t xml:space="preserve">14-12-2026 to 19-12-2026</t>
  </si>
  <si>
    <t xml:space="preserve">https://ugcnet.nta.nic.in</t>
  </si>
  <si>
    <t xml:space="preserve">Fee Rs.1150 General; Rs.600 Gen-EWS/OBC-NCL; Rs.325 SC/ST/PwD/Third Gender; correction in particulars 02-11-2026 to 04-11-2026</t>
  </si>
  <si>
    <t xml:space="preserve">LIC Housing Finance Ltd (LIC HFL)</t>
  </si>
  <si>
    <t xml:space="preserve">LICHFL Apprenticeship Program-010 - engagement of Apprentices</t>
  </si>
  <si>
    <t xml:space="preserve">232 apprentice vacancies (state/city-wise)</t>
  </si>
  <si>
    <t xml:space="preserve">Graduation in any stream from a UGC/AICTE-recognised university/institute (completed on or before 01-10-2026 and not before 01-10-2001)</t>
  </si>
  <si>
    <t xml:space="preserve">Age as on 01-Oct-2026: 20 to 25 years</t>
  </si>
  <si>
    <t xml:space="preserve">20</t>
  </si>
  <si>
    <t xml:space="preserve">as per Apprenticeship rules</t>
  </si>
  <si>
    <t xml:space="preserve">20-10-2026 to 01-11-2026</t>
  </si>
  <si>
    <t xml:space="preserve">2026-11-01</t>
  </si>
  <si>
    <t xml:space="preserve">07-11-2026 (online proctored entrance examination)</t>
  </si>
  <si>
    <t xml:space="preserve">https://cdn.lichousing.com/2026/10/Apprentecis-Advertisement-Notification-Batch-10.pdf</t>
  </si>
  <si>
    <t xml:space="preserve">Apprenticeship is not employment; stipend Rs.16,650 (metro cities) or Rs.14,150 (other cities); register on NATS portal; fee Rs.800 plus GST (Rs.200 plus GST for SC/ST/PwBD)</t>
  </si>
  <si>
    <t xml:space="preserve">Indian Army</t>
  </si>
  <si>
    <t xml:space="preserve">Agniveer Recruitment 2026 - Online Common Entrance Examination (CEE) under Agnipath Scheme (recruiting year 2026-27)</t>
  </si>
  <si>
    <t xml:space="preserve">25,000+ vacancies (Agniveer General Duty, Technical, Clerk/Store Keeper Technical, Tradesman, Soldier Pharma, Soldier Technical Nursing Assistant, Women Military Police)</t>
  </si>
  <si>
    <t xml:space="preserve">8th/10th/12th pass or graduation depending on the category</t>
  </si>
  <si>
    <t xml:space="preserve">Age limit for the 2026 cycle - minimum 17 and a half years and maximum 21 years, with age calculated as on 1 July 2026 (relaxation to a higher upper limit applies in specific cases)</t>
  </si>
  <si>
    <t xml:space="preserve">17</t>
  </si>
  <si>
    <t xml:space="preserve">Relaxation to a higher upper limit applies in specific cases, for instance widows of defence personnel in certain categories</t>
  </si>
  <si>
    <t xml:space="preserve">13-02-2026 to 01-04-2026</t>
  </si>
  <si>
    <t xml:space="preserve">2026-04-01</t>
  </si>
  <si>
    <t xml:space="preserve">Online CEE 01-06-2026 to 15-06-2026</t>
  </si>
  <si>
    <t xml:space="preserve">https://joinindianarmy.nic.in</t>
  </si>
  <si>
    <t xml:space="preserve">Lower age limit is stated as 17 and a half years (shown as 17 here as an integer); processing fee Rs.250; CEE admit cards issued from 15-05-2026</t>
  </si>
  <si>
    <t xml:space="preserve">Indian Air Force</t>
  </si>
  <si>
    <t xml:space="preserve">Agniveer Vayu Intake 02/2027 (and Airmen Group Y Medical Assistant Intake 02/2027)</t>
  </si>
  <si>
    <t xml:space="preserve">Agniveervayu (and Airmen Group Y Medical Assistant) under Agnipath Scheme</t>
  </si>
  <si>
    <t xml:space="preserve">10+2 with Mathematics, Physics and English with at least 50% aggregate (or 3-year Engineering Diploma with 50%); 10+2 any stream with 50% for other streams</t>
  </si>
  <si>
    <t xml:space="preserve">Candidate should be born between 01 July 2005 and 01 January 2010 (both dates inclusive); upper age at enrolment 22 years</t>
  </si>
  <si>
    <t xml:space="preserve">22</t>
  </si>
  <si>
    <t xml:space="preserve">as per IAF rules</t>
  </si>
  <si>
    <t xml:space="preserve">06-07-2026 to 26-07-2026</t>
  </si>
  <si>
    <t xml:space="preserve">22-09-2026 to 23-09-2026</t>
  </si>
  <si>
    <t xml:space="preserve">https://iafrecruitment.edcil.co.in</t>
  </si>
  <si>
    <t xml:space="preserve">Fee Rs.550 plus 18% GST; selection via CBT, Physical Fitness Test, Adaptability Tests, Medical Examination and Document Verification</t>
  </si>
  <si>
    <t xml:space="preserve">Indian Navy</t>
  </si>
  <si>
    <t xml:space="preserve">Agniveer SSR, MR and SSR (Medical) - 01/2027 and 02/2027 batches (INET 2026)</t>
  </si>
  <si>
    <t xml:space="preserve">Agniveer Senior Secondary Recruit (SSR), Matric Recruit (MR) and SSR (Medical) sailor posts</t>
  </si>
  <si>
    <t xml:space="preserve">10th/12th pass with prescribed subjects and minimum 50% marks (post-wise); 3-year diploma accepted for SSR</t>
  </si>
  <si>
    <t xml:space="preserve">Age criteria - Agniveer 01/2027: candidate should be born between 01 Dec 2004 and 31 May 2009 (both dates inclusive); Agniveer 02/2027: born between 01 May 2005 and 31 Oct 2009 (both dates inclusive)</t>
  </si>
  <si>
    <t xml:space="preserve">as per Government of India rules</t>
  </si>
  <si>
    <t xml:space="preserve">14-03-2026 to 06-04-2026</t>
  </si>
  <si>
    <t xml:space="preserve">2026-04-06</t>
  </si>
  <si>
    <t xml:space="preserve">INET 2026 in May 2026</t>
  </si>
  <si>
    <t xml:space="preserve">https://www.joinindiannavy.gov.in</t>
  </si>
  <si>
    <t xml:space="preserve">Only unmarried male and female candidates eligible; SSR (Medical) for unmarried males only; fee Rs.550 plus 18% GST; the notice states birth-date windows rather than a numeric age range</t>
  </si>
  <si>
    <t xml:space="preserve">DRDO (Integrated Test Range, Chandipur)</t>
  </si>
  <si>
    <t xml:space="preserve">Engagement of Graduate and Technician (Diploma) Apprentice - Advertisement No. ITR/HRD/AT/11/2026</t>
  </si>
  <si>
    <t xml:space="preserve">Graduate Apprentice and Technician (Diploma) Apprentice (various engineering and other disciplines)</t>
  </si>
  <si>
    <t xml:space="preserve">B.E/B.Tech or Diploma in relevant discipline (passed in 2022-2026); must be registered on the NATS portal</t>
  </si>
  <si>
    <t xml:space="preserve">Minimum Age NOT less than 18 years. For Maximum age and relaxation as per the Apprentices Act 1961, Apprentices Rules 1992 and NATS 2.0 / NAPS Guidelines</t>
  </si>
  <si>
    <t xml:space="preserve">as per the Apprentices Act 1961, Apprentices Rules 1992 and NATS 2.0/NAPS Guidelines</t>
  </si>
  <si>
    <t xml:space="preserve">09-10-2026 to 02-11-2026</t>
  </si>
  <si>
    <t xml:space="preserve">2026-11-02</t>
  </si>
  <si>
    <t xml:space="preserve">https://drdo.gov.in/drdo/en/offerings/vacancies</t>
  </si>
  <si>
    <t xml:space="preserve">Applications by Speed Post/Registered Post only; candidates who passed the qualifying examination before 2022 and those with higher qualification are not eligible</t>
  </si>
  <si>
    <t xml:space="preserve">CRPF (Ministry of Home Affairs)</t>
  </si>
  <si>
    <t xml:space="preserve">Recruitment of Meritorious Sportspersons for Head Constable/Constable (General Duty) under Sports Quota-2026 - Advt. No. R.II-21/2026-Sports</t>
  </si>
  <si>
    <t xml:space="preserve">521 vacancies (Head Constable/GD 182 - Male 150, Female 32; Constable/GD 339 - Male 258, Female 81)</t>
  </si>
  <si>
    <t xml:space="preserve">as per post (10th/12th pass and meritorious sports achievement in the last two years)</t>
  </si>
  <si>
    <t xml:space="preserve">as per Government norms (fee exempt for females, SC/ST and Ex-servicemen)</t>
  </si>
  <si>
    <t xml:space="preserve">12-10-2026 (0900 hrs) to 11-11-2026 (2359 hrs)</t>
  </si>
  <si>
    <t xml:space="preserve">2026-11-11</t>
  </si>
  <si>
    <t xml:space="preserve">https://rect.crpf.gov.in</t>
  </si>
  <si>
    <t xml:space="preserve">Fee Rs.100 (exempt for females/SC/ST/Ex-servicemen); correction window 12-11-2026 to 14-11-2026; only meritorious sportspersons are eligible</t>
  </si>
  <si>
    <t xml:space="preserve">Andhra Pradesh Public Service Commission (APPSC)</t>
  </si>
  <si>
    <t xml:space="preserve">Notification No. 07/2026 - Group-I Services for Various Categories of Posts (General Recruitment)</t>
  </si>
  <si>
    <t xml:space="preserve">166 provisional vacancies across 13 posts (Deputy Collector, Asst. Commissioner of State Tax, Dy. Supdt. of Police Civil, DSP Communications, District Educational Officer etc.)</t>
  </si>
  <si>
    <t xml:space="preserve">Bachelor's Degree of a university in India recognised by the UGC (engineering degree for DSP Communications)</t>
  </si>
  <si>
    <t xml:space="preserve">18-44 (Age as on 01.07.2026)</t>
  </si>
  <si>
    <t xml:space="preserve">44</t>
  </si>
  <si>
    <t xml:space="preserve">SC/ST/BC/EWS and PwBD upper-age relaxation as per the AP State and Subordinate Service Rules</t>
  </si>
  <si>
    <t xml:space="preserve">06/10/2026 to 27/10/2026</t>
  </si>
  <si>
    <t xml:space="preserve">27/10/2026 (11:59 PM)</t>
  </si>
  <si>
    <t xml:space="preserve">Screening Test 24/01/2027 (Main Examination date to be announced)</t>
  </si>
  <si>
    <t xml:space="preserve">https://psc.ap.gov.in</t>
  </si>
  <si>
    <t xml:space="preserve">Detailed notification dated 06/10/2026; vacancies revised upward from 163 to 166; screening in offline OMR mode, mains descriptive</t>
  </si>
  <si>
    <t xml:space="preserve">Notification No. 37/2026 - Group-II Services for Various Categories of Posts</t>
  </si>
  <si>
    <t xml:space="preserve">686 provisional vacancies (Deputy Tahsildar, Deputy MPDO, Senior Accountant, Assistant Section Officer, GST Officer etc.)</t>
  </si>
  <si>
    <t xml:space="preserve">Bachelor's Degree as prescribed in the detailed notification</t>
  </si>
  <si>
    <t xml:space="preserve">not stated</t>
  </si>
  <si>
    <t xml:space="preserve">10/11/2026 to 30/11/2026</t>
  </si>
  <si>
    <t xml:space="preserve">30/11/2026 (11:59 PM)</t>
  </si>
  <si>
    <t xml:space="preserve">tba (Screening Test, Main Examination and Computer Proficiency Test)</t>
  </si>
  <si>
    <t xml:space="preserve">upcoming</t>
  </si>
  <si>
    <t xml:space="preserve">Brief notification dated 13/10/2026; detailed notification with age, fee and community-wise breakup to follow</t>
  </si>
  <si>
    <t xml:space="preserve">Notification No. 20/2026 - Assistant Statistical Officer, A.P. Economics &amp; Statistical Subordinate Service</t>
  </si>
  <si>
    <t xml:space="preserve">196 provisional vacancies</t>
  </si>
  <si>
    <t xml:space="preserve">Bachelor's Degree (subject requirements as per the detailed notification)</t>
  </si>
  <si>
    <t xml:space="preserve">13/10/2026 to 02/11/2026</t>
  </si>
  <si>
    <t xml:space="preserve">02/11/2026 (11:59 PM)</t>
  </si>
  <si>
    <t xml:space="preserve">tba (single-level online CBRT, no screening test)</t>
  </si>
  <si>
    <t xml:space="preserve">Brief notification dated 15/09/2026; detailed notification issued 13/10/2026</t>
  </si>
  <si>
    <t xml:space="preserve">Notification No. 27/2026 - Assistant Executive Engineers in Various Engineering Services</t>
  </si>
  <si>
    <t xml:space="preserve">503 provisional vacancies</t>
  </si>
  <si>
    <t xml:space="preserve">B.E./B.Tech in the relevant engineering branch</t>
  </si>
  <si>
    <t xml:space="preserve">from 02/11/2026 (as per notification)</t>
  </si>
  <si>
    <t xml:space="preserve">tba</t>
  </si>
  <si>
    <t xml:space="preserve">Brief notification dated 13/10/2026; largest single block of vacancies in this APPSC batch</t>
  </si>
  <si>
    <t xml:space="preserve">Notification No. 16/2026 - Forest Range Officers, A.P. Forest Service (General Recruitment)</t>
  </si>
  <si>
    <t xml:space="preserve">4 provisional vacancies</t>
  </si>
  <si>
    <t xml:space="preserve">Bachelor's Degree in Agriculture, Botany, Chemistry, Computer Applications/Science, Engineering (Agri/Chemical/Civil/Computer/Electrical/Electronics/Mechanical), Environmental Science, Forestry, Geology, Horticulture, Mathematics, Physics, Statistics, Veterinary Science or Zoology</t>
  </si>
  <si>
    <t xml:space="preserve">16/10/2026 to 05/11/2026</t>
  </si>
  <si>
    <t xml:space="preserve">05/11/2026 (11:59 PM)</t>
  </si>
  <si>
    <t xml:space="preserve">tba (single-level CBRT plus walking test, medical examination and Computer Proficiency Test)</t>
  </si>
  <si>
    <t xml:space="preserve">Brief notification dated 15/09/2026; detailed notification published 16/10/2026; physical standards and age to be read from the detailed notification</t>
  </si>
  <si>
    <t xml:space="preserve">Notification No. 23/2026 - Executive Officer Grade-III, A.P. Endowments Subordinate Service (General Recruitment)</t>
  </si>
  <si>
    <t xml:space="preserve">104 provisional vacancies</t>
  </si>
  <si>
    <t xml:space="preserve">not stated (as per the detailed notification)</t>
  </si>
  <si>
    <t xml:space="preserve">Detailed notification published 16/10/2026</t>
  </si>
  <si>
    <t xml:space="preserve">Notification No. 13/2026 - Supervisor Grade-I, A.P. Women Development and Child Welfare Sub-Ordinate Service (Only for Women)</t>
  </si>
  <si>
    <t xml:space="preserve">31 provisional vacancies</t>
  </si>
  <si>
    <t xml:space="preserve">Open to women candidates only; detailed notification published 16/10/2026</t>
  </si>
  <si>
    <t xml:space="preserve">State Level Police Recruitment Board, Andhra Pradesh (SLPRB AP)</t>
  </si>
  <si>
    <t xml:space="preserve">Rc.No.91/SLPRB/Rect.2/2026 - SCT Police Constables (Civil and AR), Firemen and Warders</t>
  </si>
  <si>
    <t xml:space="preserve">1156 provisional vacancies (542 SCT PC Civil, 285 SCT PC AR, 158 Firemen, 150 Warders Men, 21 Warders Women)</t>
  </si>
  <si>
    <t xml:space="preserve">Intermediate or its equivalent (SSC with Intermediate study for SC/ST candidates for PC Civil/AR)</t>
  </si>
  <si>
    <t xml:space="preserve">For Post Code Nos. 21 and 22 all other candidates must have attained the age of 18 years and must not have attained the age of 24 years as on 1st July, 2026; for Post Code No. 42, 53 and 54 must have attained the age of 18 years and must not have attained the age of 32 years as on 1st July, 2026</t>
  </si>
  <si>
    <t xml:space="preserve">24</t>
  </si>
  <si>
    <t xml:space="preserve">Home Guards (serving AP Police, 360 days in preceding 2 years) upper age 32; other SC/ST/BC/EWS/PwBD and Ex-servicemen relaxations as per the notification</t>
  </si>
  <si>
    <t xml:space="preserve">To be announced</t>
  </si>
  <si>
    <t xml:space="preserve">https://slprb.ap.gov.in</t>
  </si>
  <si>
    <t xml:space="preserve">Notification dated 16/09/2026; online application and Preliminary Written Test dates to be notified separately; upper age limit is 32 for Firemen and Warders</t>
  </si>
  <si>
    <t xml:space="preserve">Rc.Nos.81, 82 and 83/SLPRB/Rect.1/2026 - SCT Sub-Inspectors (Civil, AR, SPF, Communications, PTO) and Scientific Assistants (FSL)</t>
  </si>
  <si>
    <t xml:space="preserve">438 SI posts (Civil 253, AR 116, SPF 9, Communications 50, PTO 10) plus Scientific Assistant posts</t>
  </si>
  <si>
    <t xml:space="preserve">Bachelor's Degree (relevant degree/diploma for technical and Scientific Assistant posts)</t>
  </si>
  <si>
    <t xml:space="preserve">Notifications dated 16/09/2026; application and examination dates to be announced separately</t>
  </si>
  <si>
    <t xml:space="preserve">Department of School Education, Government of Andhra Pradesh</t>
  </si>
  <si>
    <t xml:space="preserve">Brief Notification No.1/DSC-2026 / APTRT-2026 - Recruitment of Teachers through the AP Teacher Recruitment Test</t>
  </si>
  <si>
    <t xml:space="preserve">2721 tentative vacancies (SA 906, SGT 1205, SA Special Education 150, SGT Special Education 200, Principal 30, PGT 81, TGT 113, Physical Director 2, PET 34)</t>
  </si>
  <si>
    <t xml:space="preserve">As per post; Intermediate/degree with D.El.Ed/B.Ed and APTET/CTET qualification as prescribed</t>
  </si>
  <si>
    <t xml:space="preserve">As specified in the Detailed Notification (to be issued on or before 03.11.2026)</t>
  </si>
  <si>
    <t xml:space="preserve">tba (Computer Based Test)</t>
  </si>
  <si>
    <t xml:space="preserve">https://tet2dsc.apcfss.in</t>
  </si>
  <si>
    <t xml:space="preserve">Brief notification dated 13/10/2026; detailed notification with age limits, qualifications and dates to be available on or before 03.11.2026</t>
  </si>
  <si>
    <t xml:space="preserve">AP Power Utilities (APTRANSCO, APGENCO, APCPDCL, APSPDCL, APEPDCL)</t>
  </si>
  <si>
    <t xml:space="preserve">AP Vidyut Recruitment 2026 - Assistant Executive Engineer (Electrical, Civil, Telecom) Common Recruitment</t>
  </si>
  <si>
    <t xml:space="preserve">629 provisional vacancies across the five power utilities</t>
  </si>
  <si>
    <t xml:space="preserve">B.E./B.Tech Degree in Electrical/Electrical &amp; Electronics, Civil, or Telecommunications/Electronics/Electronics and Communication Engineering</t>
  </si>
  <si>
    <t xml:space="preserve">No person shall be eligible for this recruitment if she/he is less than 18 years of age and if she/he is more than 42 years of age as on 01/07/2026</t>
  </si>
  <si>
    <t xml:space="preserve">42</t>
  </si>
  <si>
    <t xml:space="preserve">SC/ST/BC/EWS candidates maximum age limit shall be 47 years; Persons with Benchmark Disabilities maximum age limit shall be 52 years</t>
  </si>
  <si>
    <t xml:space="preserve">30/06/2026 to 20/07/2026</t>
  </si>
  <si>
    <t xml:space="preserve">20/07/2026 (23:59 Hrs)</t>
  </si>
  <si>
    <t xml:space="preserve">CBT held 22/08/2026 to 29/08/2026 (merit list published 09/10/2026)</t>
  </si>
  <si>
    <t xml:space="preserve">https://apvidyutrecruitment.apcfss.in</t>
  </si>
  <si>
    <t xml:space="preserve">Notification No.1/2026 dated 25/06/2026; certificate verification notices issued 10/10/2026; application fee Rs.1000</t>
  </si>
  <si>
    <t xml:space="preserve">Commissionerate of Higher Education, Government of Andhra Pradesh</t>
  </si>
  <si>
    <t xml:space="preserve">Faculty Recruitment 2026-27 in State Public Universities - Professor, Associate Professor, Assistant Professor, Assistant Librarian and Lecturers</t>
  </si>
  <si>
    <t xml:space="preserve">1523 vacancies across 18 State Public Universities and RGUKT (1244 regular and 279 backlog)</t>
  </si>
  <si>
    <t xml:space="preserve">Master's Degree with NET/SLET/Ph.D or equivalent as per UGC norms for the relevant cadre</t>
  </si>
  <si>
    <t xml:space="preserve">18/05/2026 to 08/06/2026 (extended to 15/06/2026)</t>
  </si>
  <si>
    <t xml:space="preserve">15/06/2026 (online) and 22/06/2026 (hard copy)</t>
  </si>
  <si>
    <t xml:space="preserve">Screening test by APPSC for Assistant Professor posts - date to be notified</t>
  </si>
  <si>
    <t xml:space="preserve">https://apuniversitiesrecruitment.apcfss.in</t>
  </si>
  <si>
    <t xml:space="preserve">Common Recruitment Portal for all universities; screening test where applicants exceed 12 per vacancy; 2023 notifications withdrawn</t>
  </si>
  <si>
    <t xml:space="preserve">High Court of Andhra Pradesh, Amaravati</t>
  </si>
  <si>
    <t xml:space="preserve">Notification No.118/2026-RC - Civil Judge (Junior Division), A.P. State Judicial Service</t>
  </si>
  <si>
    <t xml:space="preserve">119 vacancies (96 by direct recruitment and 23 by recruitment by transfer)</t>
  </si>
  <si>
    <t xml:space="preserve">Bachelor's Degree in Law (LL.B) and qualification as an advocate as prescribed</t>
  </si>
  <si>
    <t xml:space="preserve">01/10/2026 to 26/10/2026 (extended to 10/11/2026)</t>
  </si>
  <si>
    <t xml:space="preserve">10/11/2026</t>
  </si>
  <si>
    <t xml:space="preserve">tba (Computer-Based Screening Test, Written Examination and Viva Voce)</t>
  </si>
  <si>
    <t xml:space="preserve">https://aphc.gov.in</t>
  </si>
  <si>
    <t xml:space="preserve">Notification dated 25/09/2026; time for submission extended to 10/11/2026 vide notice dated 16/10/2026; pay scale Rs.77840-136520</t>
  </si>
  <si>
    <t xml:space="preserve">District Judge (Entry Level) under Direct Recruitment, 2026</t>
  </si>
  <si>
    <t xml:space="preserve">10 vacancies</t>
  </si>
  <si>
    <t xml:space="preserve">Bachelor's Degree in Law (LL.B) with the prescribed practice as an advocate</t>
  </si>
  <si>
    <t xml:space="preserve">30/09/2026 onwards (extended)</t>
  </si>
  <si>
    <t xml:space="preserve">Notification dated 30/09/2026; time for submission of filled-in applications extended to 10/11/2026 vide notice dated 15/10/2026</t>
  </si>
  <si>
    <t xml:space="preserve">Department of Posts (India Post), Andhra Pradesh Circle</t>
  </si>
  <si>
    <t xml:space="preserve">GDS Online Engagement Schedule-II, July-2026 - Gramin Dak Sevak (BPM/ABPM/Dak Sevak)</t>
  </si>
  <si>
    <t xml:space="preserve">1060 vacancies in the Andhra Pradesh Circle (Telugu)</t>
  </si>
  <si>
    <t xml:space="preserve">Secondary School Examination (10th standard) pass with passing marks in Mathematics and English, and study of the local language up to 10th standard</t>
  </si>
  <si>
    <t xml:space="preserve">Minimum age: 18 years Maximum age: 40 years</t>
  </si>
  <si>
    <t xml:space="preserve">SC/ST 5 years; OBC 3 years; PwBD 10 years (General), 13 years (OBC), 15 years (SC/ST); EWS no relaxation</t>
  </si>
  <si>
    <t xml:space="preserve">02/09/2026 to 21/09/2026</t>
  </si>
  <si>
    <t xml:space="preserve">21/09/2026 (17:00 Hrs)</t>
  </si>
  <si>
    <t xml:space="preserve">No examination (merit based on 10th class marks); List 1 of shortlisted candidates published, document verification by 27/10/2026</t>
  </si>
  <si>
    <t xml:space="preserve">https://www.indiapost.gov.in/gdsonlineengagement</t>
  </si>
  <si>
    <t xml:space="preserve">Notification No.17-12/2026-GDS dated 20/08/2026; AP Circle total 1060 posts; fee Rs.100 (exempt for female/trans-woman and SC/ST)</t>
  </si>
  <si>
    <t xml:space="preserve">Dr. NTR University of Health Sciences, Vijayawada</t>
  </si>
  <si>
    <t xml:space="preserve">8th Notification - PG (Medical) 2026-27 (In-Service and Non-Service) under Competent Authority Quota</t>
  </si>
  <si>
    <t xml:space="preserve">PG Medical Degree/Diploma (MD/MS/Diploma) admissions under Competent Authority Quota</t>
  </si>
  <si>
    <t xml:space="preserve">MBBS from a recognised college and qualified in NEET PG-2026 (General/EWS 50th percentile score 262; General-PwBD 45th percentile score 244; SC/ST/OBC 40th percentile score 226); internship completed by 30/09/2026</t>
  </si>
  <si>
    <t xml:space="preserve">No general age limit stated; In-service candidates should not have completed 50 years as on 01-07-2026</t>
  </si>
  <si>
    <t xml:space="preserve">14/10/2026 (4:00 PM) to 21/10/2026 (5:00 PM); with late fee 22/10/2026 (9:00 AM to 10:00 PM)</t>
  </si>
  <si>
    <t xml:space="preserve">21/10/2026 (5:00 PM)</t>
  </si>
  <si>
    <t xml:space="preserve">Counselling web options, joining and commencement of classes as per schedule to be notified</t>
  </si>
  <si>
    <t xml:space="preserve">https://drntr.uhsap.in</t>
  </si>
  <si>
    <t xml:space="preserve">Notification dated 14/10/2026; registration and processing fee from Rs.6000 to Rs.14000; late fee Rs.20000</t>
  </si>
  <si>
    <t xml:space="preserve">AP State Council of Higher Education (APSCHE), conducted by JNTU Kakinada</t>
  </si>
  <si>
    <t xml:space="preserve">AP EAPCET-2026 - Engineering, Agriculture and Pharmacy Common Entrance Test</t>
  </si>
  <si>
    <t xml:space="preserve">Engineering, Agriculture and Pharmacy UG admissions</t>
  </si>
  <si>
    <t xml:space="preserve">Passed or appearing in Intermediate (10+2) with relevant subjects (MPC/BiPC)</t>
  </si>
  <si>
    <t xml:space="preserve">04/02/2026 to 24/03/2026 (without late fee); late fee up to 10/04/2026</t>
  </si>
  <si>
    <t xml:space="preserve">24/03/2026 (without late fee); 10/04/2026 (with Rs.10000 late fee)</t>
  </si>
  <si>
    <t xml:space="preserve">Engineering 12-15/05/2026 and 18/05/2026; Agriculture and Pharmacy 19-20/05/2026</t>
  </si>
  <si>
    <t xml:space="preserve">https://cets.apsche.ap.gov.in/EAPCET</t>
  </si>
  <si>
    <t xml:space="preserve">Notification 03/02/2026; CBT mode; preliminary key released 25/05/2026</t>
  </si>
  <si>
    <t xml:space="preserve">AP State Council of Higher Education (APSCHE), conducted by JNTU Anantapur</t>
  </si>
  <si>
    <t xml:space="preserve">AP ECET-2026 - Engineering Common Entrance Test</t>
  </si>
  <si>
    <t xml:space="preserve">Lateral entry to 2nd year Engineering/Pharmacy for Diploma holders and B.Sc (Mathematics) candidates</t>
  </si>
  <si>
    <t xml:space="preserve">Diploma in Engineering/Technology or B.Sc with Mathematics</t>
  </si>
  <si>
    <t xml:space="preserve">04/02/2026 to 12/03/2026 (without late fee); late fee up to 28/03/2026</t>
  </si>
  <si>
    <t xml:space="preserve">12/03/2026 (without late fee); 28/03/2026 (with Rs.10000 late fee)</t>
  </si>
  <si>
    <t xml:space="preserve">23/04/2026</t>
  </si>
  <si>
    <t xml:space="preserve">https://cets.apsche.ap.gov.in/ECET</t>
  </si>
  <si>
    <t xml:space="preserve">Notification 04/02/2026; results released 07/05/2026</t>
  </si>
  <si>
    <t xml:space="preserve">AP State Council of Higher Education (APSCHE), conducted by Andhra University</t>
  </si>
  <si>
    <t xml:space="preserve">AP ICET-2026 - Integrated Common Entrance Test</t>
  </si>
  <si>
    <t xml:space="preserve">MBA and MCA admissions</t>
  </si>
  <si>
    <t xml:space="preserve">Bachelor's Degree of 3/4 years (Mathematics at Intermediate or Degree level for MCA); 50% aggregate (45% for SC/ST/BC)</t>
  </si>
  <si>
    <t xml:space="preserve">05/02/2026 to 23/03/2026 (without late fee); late fee up to 05/04/2026</t>
  </si>
  <si>
    <t xml:space="preserve">23/03/2026 (without late fee); 05/04/2026 (with Rs.10000 late fee)</t>
  </si>
  <si>
    <t xml:space="preserve">02/05/2026</t>
  </si>
  <si>
    <t xml:space="preserve">https://cets.apsche.ap.gov.in/ICET</t>
  </si>
  <si>
    <t xml:space="preserve">Notification 04/02/2026; results and ranks declared 16/05/2026</t>
  </si>
  <si>
    <t xml:space="preserve">AP PGECET-2026 - Post Graduate Engineering Common Entrance Test</t>
  </si>
  <si>
    <t xml:space="preserve">M.Tech / M.Pharmacy / Pharm.D (PB) admissions</t>
  </si>
  <si>
    <t xml:space="preserve">Bachelor's Degree in Engineering/Technology or Pharmacy (relevant branch)</t>
  </si>
  <si>
    <t xml:space="preserve">06/02/2026 to 20/03/2026 (without late fee); late fee up to 01/04/2026</t>
  </si>
  <si>
    <t xml:space="preserve">20/03/2026 (without late fee); 01/04/2026 (with Rs.10000 late fee)</t>
  </si>
  <si>
    <t xml:space="preserve">28-30/04/2026</t>
  </si>
  <si>
    <t xml:space="preserve">https://cets.apsche.ap.gov.in/PGECET</t>
  </si>
  <si>
    <t xml:space="preserve">Notification 04/02/2026; results 14/05/2026; web counselling for PGECET and GATE/GPAT-2026 held September-October 2026</t>
  </si>
  <si>
    <t xml:space="preserve">AP State Council of Higher Education (APSCHE), conducted by Dravidian University</t>
  </si>
  <si>
    <t xml:space="preserve">AP EdCET-2026 - Education Common Entrance Test</t>
  </si>
  <si>
    <t xml:space="preserve">B.Ed and B.Ed (Special Education) admissions</t>
  </si>
  <si>
    <t xml:space="preserve">Bachelor's Degree or Master's Degree with at least 50% marks (55% for B.E./B.Tech candidates)</t>
  </si>
  <si>
    <t xml:space="preserve">11/02/2026 to 26/03/2026 (without late fee); late fee up to 07/04/2026</t>
  </si>
  <si>
    <t xml:space="preserve">26/03/2026 (without late fee); 07/04/2026 (with Rs.10000 late fee)</t>
  </si>
  <si>
    <t xml:space="preserve">08/05/2026</t>
  </si>
  <si>
    <t xml:space="preserve">https://cets.apsche.ap.gov.in/EDCET</t>
  </si>
  <si>
    <t xml:space="preserve">Notification 03/02/2026; exam date revised from 04/05/2026 to 08/05/2026; results 26/05/2026</t>
  </si>
  <si>
    <t xml:space="preserve">AP State Council of Higher Education (APSCHE), conducted by Sri Padmavati Mahila Visvavidyalayam</t>
  </si>
  <si>
    <t xml:space="preserve">AP LAWCET and AP PGLCET-2026 - Law Common Entrance Test</t>
  </si>
  <si>
    <t xml:space="preserve">3-year and 5-year LL.B and LL.M admissions</t>
  </si>
  <si>
    <t xml:space="preserve">For LL.B - Bachelor's Degree; for LL.M - LL.B degree (as per Bar Council of India norms)</t>
  </si>
  <si>
    <t xml:space="preserve">12/02/2026 to 20/03/2026 (without late fee); late fee up to 06/04/2026</t>
  </si>
  <si>
    <t xml:space="preserve">20/03/2026 (without late fee); 06/04/2026 (with Rs.10000 late fee)</t>
  </si>
  <si>
    <t xml:space="preserve">04/05/2026</t>
  </si>
  <si>
    <t xml:space="preserve">https://cets.apsche.ap.gov.in/LAWCET</t>
  </si>
  <si>
    <t xml:space="preserve">Notification 04/02/2026; results released 18/05/2026</t>
  </si>
  <si>
    <t xml:space="preserve">State Board of Technical Education and Training (SBTET), Andhra Pradesh</t>
  </si>
  <si>
    <t xml:space="preserve">POLYCET-2026 - Polytechnic Common Entrance Test</t>
  </si>
  <si>
    <t xml:space="preserve">Diploma courses in Engineering / Non-Engineering / Technology admissions</t>
  </si>
  <si>
    <t xml:space="preserve">Pass or appearing in SSC (10th class) or its equivalent</t>
  </si>
  <si>
    <t xml:space="preserve">There is no age limit to appear for POLYCET 2026 examination</t>
  </si>
  <si>
    <t xml:space="preserve">03/03/2026 to 04/04/2026 (without late fee); late fee up to 21/04/2026 and tatkal 22/04/2026</t>
  </si>
  <si>
    <t xml:space="preserve">04/04/2026 (without late fee)</t>
  </si>
  <si>
    <t xml:space="preserve">25/04/2026</t>
  </si>
  <si>
    <t xml:space="preserve">https://polycetap.ap.gov.in</t>
  </si>
  <si>
    <t xml:space="preserve">Offline OMR-based test; results tentatively 10/05/2026</t>
  </si>
  <si>
    <t xml:space="preserve">AP State Council of Higher Education (APSCHE), conducted by Sri Venkateswara University</t>
  </si>
  <si>
    <t xml:space="preserve">AP PGCET-2026 - Post Graduate Common Entrance Test</t>
  </si>
  <si>
    <t xml:space="preserve">M.A., M.Sc., M.Com., M.Ed., M.P.Ed. and other PG programme admissions</t>
  </si>
  <si>
    <t xml:space="preserve">Bachelor's Degree in the relevant subject (final year students eligible)</t>
  </si>
  <si>
    <t xml:space="preserve">09/02/2026 to 28/03/2026 (without late fee); late fee up to 09/04/2026</t>
  </si>
  <si>
    <t xml:space="preserve">28/03/2026 (without late fee); 09/04/2026 (with Rs.10000 late fee)</t>
  </si>
  <si>
    <t xml:space="preserve">08-11/05/2026</t>
  </si>
  <si>
    <t xml:space="preserve">https://cets.apsche.ap.gov.in/PGCET</t>
  </si>
  <si>
    <t xml:space="preserve">Notification 07/02/2026; CBT mode; web counselling for 2026-27 admissions held September 2026</t>
  </si>
  <si>
    <t xml:space="preserve">DEECET-2026 - Diploma in Elementary Education Common Entrance Test</t>
  </si>
  <si>
    <t xml:space="preserve">D.El.Ed (2-year Diploma in Elementary Education) admissions in Government DIETs and private elementary teacher training institutions</t>
  </si>
  <si>
    <t xml:space="preserve">Intermediate (10+2) pass</t>
  </si>
  <si>
    <t xml:space="preserve">31/03/2026 to 15/04/2026 (as per notification)</t>
  </si>
  <si>
    <t xml:space="preserve">15/04/2026</t>
  </si>
  <si>
    <t xml:space="preserve">01/07/2026 (hall tickets from 11/06/2026)</t>
  </si>
  <si>
    <t xml:space="preserve">https://apdeecet.apcfss.in</t>
  </si>
  <si>
    <t xml:space="preserve">Notification No.DEECET-2026/A3/2026 dated 26/03/2026; some portals showed extended dates to 25/04/2026; results 04/07/2026</t>
  </si>
</sst>
</file>

<file path=xl/styles.xml><?xml version="1.0" encoding="utf-8"?>
<styleSheet xmlns="http://schemas.openxmlformats.org/spreadsheetml/2006/main">
  <numFmts count="1">
    <numFmt numFmtId="164" formatCode="General"/>
  </numFmts>
  <fonts count="10">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name val="Arial"/>
      <family val="0"/>
      <charset val="1"/>
    </font>
    <font>
      <b val="true"/>
      <sz val="10"/>
      <color rgb="FFFFFFFF"/>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FC7CE"/>
        <bgColor rgb="FFFFEB9C"/>
      </patternFill>
    </fill>
    <fill>
      <patternFill patternType="solid">
        <fgColor rgb="FFC6EFCE"/>
        <bgColor rgb="FFCCFFFF"/>
      </patternFill>
    </fill>
    <fill>
      <patternFill patternType="solid">
        <fgColor rgb="FFFFEB9C"/>
        <bgColor rgb="FFFFFF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FC7CE"/>
        </patternFill>
      </fill>
    </dxf>
    <dxf>
      <fill>
        <patternFill patternType="solid">
          <f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6"/>
    <col collapsed="false" customWidth="true" hidden="false" outlineLevel="0" max="4" min="4" style="0" width="12"/>
  </cols>
  <sheetData>
    <row r="2" customFormat="false" ht="1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15" hidden="false" customHeight="true" outlineLevel="0" collapsed="false">
      <c r="B6" s="4" t="s">
        <v>3</v>
      </c>
      <c r="C6" s="4"/>
      <c r="D6" s="4"/>
    </row>
    <row r="7" customFormat="false" ht="15" hidden="false" customHeight="false" outlineLevel="0" collapsed="false">
      <c r="B7" s="4"/>
      <c r="C7" s="4"/>
      <c r="D7" s="4"/>
    </row>
    <row r="8" customFormat="false" ht="15" hidden="false" customHeight="true" outlineLevel="0" collapsed="false">
      <c r="B8" s="4" t="s">
        <v>4</v>
      </c>
      <c r="C8" s="4"/>
      <c r="D8" s="4"/>
    </row>
    <row r="9" customFormat="false" ht="15" hidden="false" customHeight="false" outlineLevel="0" collapsed="false">
      <c r="B9" s="4"/>
      <c r="C9" s="4"/>
      <c r="D9" s="4"/>
    </row>
    <row r="10" customFormat="false" ht="15" hidden="false" customHeight="true" outlineLevel="0" collapsed="false">
      <c r="B10" s="4" t="s">
        <v>5</v>
      </c>
      <c r="C10" s="4"/>
      <c r="D10" s="4"/>
    </row>
    <row r="11" customFormat="false" ht="15" hidden="false" customHeight="false" outlineLevel="0" collapsed="false">
      <c r="B11" s="4"/>
      <c r="C11" s="4"/>
      <c r="D11" s="4"/>
    </row>
    <row r="12" customFormat="false" ht="15" hidden="false" customHeight="true" outlineLevel="0" collapsed="false">
      <c r="B12" s="4" t="s">
        <v>6</v>
      </c>
      <c r="C12" s="4"/>
      <c r="D12" s="4"/>
    </row>
    <row r="13" customFormat="false" ht="15" hidden="false" customHeight="false" outlineLevel="0" collapsed="false">
      <c r="B13" s="4"/>
      <c r="C13" s="4"/>
      <c r="D13" s="4"/>
    </row>
    <row r="15" customFormat="false" ht="15" hidden="false" customHeight="false" outlineLevel="0" collapsed="false">
      <c r="B15" s="3" t="s">
        <v>7</v>
      </c>
    </row>
    <row r="16" customFormat="false" ht="15" hidden="false" customHeight="false" outlineLevel="0" collapsed="false">
      <c r="B16" s="5" t="s">
        <v>8</v>
      </c>
      <c r="C16" s="5" t="s">
        <v>9</v>
      </c>
      <c r="D16" s="5" t="s">
        <v>10</v>
      </c>
    </row>
    <row r="17" customFormat="false" ht="15" hidden="false" customHeight="false" outlineLevel="0" collapsed="false">
      <c r="B17" s="6" t="s">
        <v>11</v>
      </c>
      <c r="C17" s="5" t="n">
        <f aca="false">COUNTIF('Live notifications'!A2:A200,"Central Govt")</f>
        <v>25</v>
      </c>
    </row>
    <row r="18" customFormat="false" ht="15" hidden="false" customHeight="false" outlineLevel="0" collapsed="false">
      <c r="B18" s="6" t="s">
        <v>12</v>
      </c>
      <c r="C18" s="5" t="n">
        <f aca="false">COUNTIF('Live notifications'!A2:A200,"Andhra Pradesh")</f>
        <v>25</v>
      </c>
    </row>
    <row r="19" customFormat="false" ht="15" hidden="false" customHeight="false" outlineLevel="0" collapsed="false">
      <c r="B19" s="6" t="s">
        <v>13</v>
      </c>
      <c r="C19" s="5" t="n">
        <f aca="false">COUNTIF('Live notifications'!O2:O200,"open")</f>
        <v>17</v>
      </c>
    </row>
    <row r="20" customFormat="false" ht="15" hidden="false" customHeight="false" outlineLevel="0" collapsed="false">
      <c r="B20" s="6" t="s">
        <v>14</v>
      </c>
      <c r="C20" s="5" t="n">
        <f aca="false">COUNTA('Live notifications'!C2:C200)</f>
        <v>50</v>
      </c>
    </row>
  </sheetData>
  <mergeCells count="4">
    <mergeCell ref="B6:D7"/>
    <mergeCell ref="B8:D9"/>
    <mergeCell ref="B10:D11"/>
    <mergeCell ref="B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40"/>
    <col collapsed="false" customWidth="true" hidden="false" outlineLevel="0" max="4" min="4" style="0" width="14"/>
    <col collapsed="false" customWidth="true" hidden="false" outlineLevel="0" max="7" min="5" style="0" width="34"/>
    <col collapsed="false" customWidth="true" hidden="false" outlineLevel="0" max="9" min="8" style="0" width="9"/>
    <col collapsed="false" customWidth="true" hidden="false" outlineLevel="0" max="11" min="10" style="0" width="30"/>
    <col collapsed="false" customWidth="true" hidden="false" outlineLevel="0" max="12" min="12" style="0" width="14"/>
    <col collapsed="false" customWidth="true" hidden="false" outlineLevel="0" max="13" min="13" style="0" width="16"/>
    <col collapsed="false" customWidth="true" hidden="false" outlineLevel="0" max="14" min="14" style="0" width="30"/>
    <col collapsed="false" customWidth="true" hidden="false" outlineLevel="0" max="16" min="15" style="0" width="12"/>
    <col collapsed="false" customWidth="true" hidden="false" outlineLevel="0" max="17" min="17" style="0" width="40"/>
  </cols>
  <sheetData>
    <row r="1" customFormat="false" ht="15" hidden="false" customHeight="false" outlineLevel="0" collapsed="false">
      <c r="A1" s="7" t="s">
        <v>8</v>
      </c>
      <c r="B1" s="7" t="s">
        <v>15</v>
      </c>
      <c r="C1" s="7" t="s">
        <v>16</v>
      </c>
      <c r="D1" s="7" t="s">
        <v>9</v>
      </c>
      <c r="E1" s="7" t="s">
        <v>17</v>
      </c>
      <c r="F1" s="7" t="s">
        <v>18</v>
      </c>
      <c r="G1" s="7" t="s">
        <v>19</v>
      </c>
      <c r="H1" s="7" t="s">
        <v>20</v>
      </c>
      <c r="I1" s="7" t="s">
        <v>21</v>
      </c>
      <c r="J1" s="7" t="s">
        <v>22</v>
      </c>
      <c r="K1" s="7" t="s">
        <v>23</v>
      </c>
      <c r="L1" s="7" t="s">
        <v>24</v>
      </c>
      <c r="M1" s="7" t="s">
        <v>25</v>
      </c>
      <c r="N1" s="7" t="s">
        <v>26</v>
      </c>
      <c r="O1" s="7" t="s">
        <v>10</v>
      </c>
      <c r="P1" s="7" t="s">
        <v>27</v>
      </c>
      <c r="Q1" s="7" t="s">
        <v>28</v>
      </c>
    </row>
    <row r="2" customFormat="false" ht="15" hidden="false" customHeight="false" outlineLevel="0" collapsed="false">
      <c r="A2" s="8" t="s">
        <v>29</v>
      </c>
      <c r="B2" s="8" t="s">
        <v>30</v>
      </c>
      <c r="C2" s="8" t="s">
        <v>31</v>
      </c>
      <c r="D2" s="8" t="s">
        <v>32</v>
      </c>
      <c r="E2" s="8" t="s">
        <v>33</v>
      </c>
      <c r="F2" s="8" t="s">
        <v>34</v>
      </c>
      <c r="G2" s="8" t="s">
        <v>35</v>
      </c>
      <c r="H2" s="8" t="s">
        <v>36</v>
      </c>
      <c r="I2" s="8" t="s">
        <v>37</v>
      </c>
      <c r="J2" s="8" t="s">
        <v>38</v>
      </c>
      <c r="K2" s="8" t="s">
        <v>39</v>
      </c>
      <c r="L2" s="8" t="s">
        <v>40</v>
      </c>
      <c r="M2" s="8" t="s">
        <v>36</v>
      </c>
      <c r="N2" s="8" t="s">
        <v>41</v>
      </c>
      <c r="O2" s="9" t="s">
        <v>42</v>
      </c>
      <c r="P2" s="8" t="s">
        <v>43</v>
      </c>
      <c r="Q2" s="8" t="s">
        <v>44</v>
      </c>
    </row>
    <row r="3" customFormat="false" ht="15" hidden="false" customHeight="false" outlineLevel="0" collapsed="false">
      <c r="A3" s="8" t="s">
        <v>29</v>
      </c>
      <c r="B3" s="8" t="s">
        <v>30</v>
      </c>
      <c r="C3" s="8" t="s">
        <v>45</v>
      </c>
      <c r="D3" s="8" t="s">
        <v>32</v>
      </c>
      <c r="E3" s="8" t="s">
        <v>46</v>
      </c>
      <c r="F3" s="8" t="s">
        <v>47</v>
      </c>
      <c r="G3" s="8" t="s">
        <v>47</v>
      </c>
      <c r="H3" s="8" t="s">
        <v>36</v>
      </c>
      <c r="I3" s="8" t="s">
        <v>36</v>
      </c>
      <c r="J3" s="8" t="s">
        <v>48</v>
      </c>
      <c r="K3" s="8" t="s">
        <v>49</v>
      </c>
      <c r="L3" s="8" t="s">
        <v>50</v>
      </c>
      <c r="M3" s="8" t="s">
        <v>36</v>
      </c>
      <c r="N3" s="8" t="s">
        <v>51</v>
      </c>
      <c r="O3" s="9" t="s">
        <v>42</v>
      </c>
      <c r="P3" s="8" t="s">
        <v>43</v>
      </c>
      <c r="Q3" s="8" t="s">
        <v>52</v>
      </c>
    </row>
    <row r="4" customFormat="false" ht="15" hidden="false" customHeight="false" outlineLevel="0" collapsed="false">
      <c r="A4" s="8" t="s">
        <v>29</v>
      </c>
      <c r="B4" s="8" t="s">
        <v>30</v>
      </c>
      <c r="C4" s="8" t="s">
        <v>53</v>
      </c>
      <c r="D4" s="8" t="s">
        <v>32</v>
      </c>
      <c r="E4" s="8" t="s">
        <v>54</v>
      </c>
      <c r="F4" s="8" t="s">
        <v>55</v>
      </c>
      <c r="G4" s="8" t="s">
        <v>56</v>
      </c>
      <c r="H4" s="8" t="s">
        <v>36</v>
      </c>
      <c r="I4" s="8" t="s">
        <v>57</v>
      </c>
      <c r="J4" s="8" t="s">
        <v>58</v>
      </c>
      <c r="K4" s="8" t="s">
        <v>59</v>
      </c>
      <c r="L4" s="8" t="s">
        <v>60</v>
      </c>
      <c r="M4" s="8" t="s">
        <v>36</v>
      </c>
      <c r="N4" s="8" t="s">
        <v>61</v>
      </c>
      <c r="O4" s="9" t="s">
        <v>42</v>
      </c>
      <c r="P4" s="8" t="s">
        <v>43</v>
      </c>
      <c r="Q4" s="8" t="s">
        <v>62</v>
      </c>
    </row>
    <row r="5" customFormat="false" ht="15" hidden="false" customHeight="false" outlineLevel="0" collapsed="false">
      <c r="A5" s="8" t="s">
        <v>29</v>
      </c>
      <c r="B5" s="8" t="s">
        <v>63</v>
      </c>
      <c r="C5" s="8" t="s">
        <v>64</v>
      </c>
      <c r="D5" s="8" t="s">
        <v>32</v>
      </c>
      <c r="E5" s="8" t="s">
        <v>65</v>
      </c>
      <c r="F5" s="8" t="s">
        <v>66</v>
      </c>
      <c r="G5" s="8" t="s">
        <v>67</v>
      </c>
      <c r="H5" s="8" t="s">
        <v>68</v>
      </c>
      <c r="I5" s="8" t="s">
        <v>69</v>
      </c>
      <c r="J5" s="8" t="s">
        <v>70</v>
      </c>
      <c r="K5" s="8" t="s">
        <v>71</v>
      </c>
      <c r="L5" s="8" t="s">
        <v>72</v>
      </c>
      <c r="M5" s="8" t="s">
        <v>73</v>
      </c>
      <c r="N5" s="8" t="s">
        <v>74</v>
      </c>
      <c r="O5" s="9" t="s">
        <v>42</v>
      </c>
      <c r="P5" s="8" t="s">
        <v>43</v>
      </c>
      <c r="Q5" s="8" t="s">
        <v>75</v>
      </c>
    </row>
    <row r="6" customFormat="false" ht="15" hidden="false" customHeight="false" outlineLevel="0" collapsed="false">
      <c r="A6" s="8" t="s">
        <v>29</v>
      </c>
      <c r="B6" s="8" t="s">
        <v>63</v>
      </c>
      <c r="C6" s="8" t="s">
        <v>76</v>
      </c>
      <c r="D6" s="8" t="s">
        <v>32</v>
      </c>
      <c r="E6" s="8" t="s">
        <v>77</v>
      </c>
      <c r="F6" s="8" t="s">
        <v>78</v>
      </c>
      <c r="G6" s="8" t="s">
        <v>79</v>
      </c>
      <c r="H6" s="8" t="s">
        <v>68</v>
      </c>
      <c r="I6" s="8" t="s">
        <v>80</v>
      </c>
      <c r="J6" s="8" t="s">
        <v>81</v>
      </c>
      <c r="K6" s="8" t="s">
        <v>82</v>
      </c>
      <c r="L6" s="8" t="s">
        <v>83</v>
      </c>
      <c r="M6" s="8" t="s">
        <v>84</v>
      </c>
      <c r="N6" s="8" t="s">
        <v>85</v>
      </c>
      <c r="O6" s="9" t="s">
        <v>42</v>
      </c>
      <c r="P6" s="8" t="s">
        <v>43</v>
      </c>
      <c r="Q6" s="8" t="s">
        <v>86</v>
      </c>
    </row>
    <row r="7" customFormat="false" ht="15" hidden="false" customHeight="false" outlineLevel="0" collapsed="false">
      <c r="A7" s="8" t="s">
        <v>29</v>
      </c>
      <c r="B7" s="8" t="s">
        <v>87</v>
      </c>
      <c r="C7" s="8" t="s">
        <v>88</v>
      </c>
      <c r="D7" s="8" t="s">
        <v>32</v>
      </c>
      <c r="E7" s="8" t="s">
        <v>89</v>
      </c>
      <c r="F7" s="8" t="s">
        <v>90</v>
      </c>
      <c r="G7" s="8" t="s">
        <v>91</v>
      </c>
      <c r="H7" s="8" t="s">
        <v>36</v>
      </c>
      <c r="I7" s="8" t="s">
        <v>36</v>
      </c>
      <c r="J7" s="8" t="s">
        <v>92</v>
      </c>
      <c r="K7" s="8" t="s">
        <v>93</v>
      </c>
      <c r="L7" s="8" t="s">
        <v>43</v>
      </c>
      <c r="M7" s="8" t="s">
        <v>94</v>
      </c>
      <c r="N7" s="8" t="s">
        <v>95</v>
      </c>
      <c r="O7" s="10" t="s">
        <v>96</v>
      </c>
      <c r="P7" s="8" t="s">
        <v>43</v>
      </c>
      <c r="Q7" s="8" t="s">
        <v>97</v>
      </c>
    </row>
    <row r="8" customFormat="false" ht="15" hidden="false" customHeight="false" outlineLevel="0" collapsed="false">
      <c r="A8" s="8" t="s">
        <v>29</v>
      </c>
      <c r="B8" s="8" t="s">
        <v>98</v>
      </c>
      <c r="C8" s="8" t="s">
        <v>99</v>
      </c>
      <c r="D8" s="8" t="s">
        <v>32</v>
      </c>
      <c r="E8" s="8" t="s">
        <v>100</v>
      </c>
      <c r="F8" s="8" t="s">
        <v>101</v>
      </c>
      <c r="G8" s="8" t="s">
        <v>102</v>
      </c>
      <c r="H8" s="8" t="s">
        <v>68</v>
      </c>
      <c r="I8" s="8" t="s">
        <v>103</v>
      </c>
      <c r="J8" s="8" t="s">
        <v>104</v>
      </c>
      <c r="K8" s="8" t="s">
        <v>105</v>
      </c>
      <c r="L8" s="8" t="s">
        <v>106</v>
      </c>
      <c r="M8" s="8" t="s">
        <v>107</v>
      </c>
      <c r="N8" s="8" t="s">
        <v>108</v>
      </c>
      <c r="O8" s="10" t="s">
        <v>96</v>
      </c>
      <c r="P8" s="8" t="s">
        <v>43</v>
      </c>
      <c r="Q8" s="8" t="s">
        <v>109</v>
      </c>
    </row>
    <row r="9" customFormat="false" ht="15" hidden="false" customHeight="false" outlineLevel="0" collapsed="false">
      <c r="A9" s="8" t="s">
        <v>29</v>
      </c>
      <c r="B9" s="8" t="s">
        <v>98</v>
      </c>
      <c r="C9" s="8" t="s">
        <v>110</v>
      </c>
      <c r="D9" s="8" t="s">
        <v>32</v>
      </c>
      <c r="E9" s="8" t="s">
        <v>111</v>
      </c>
      <c r="F9" s="8" t="s">
        <v>112</v>
      </c>
      <c r="G9" s="8" t="s">
        <v>47</v>
      </c>
      <c r="H9" s="8" t="s">
        <v>36</v>
      </c>
      <c r="I9" s="8" t="s">
        <v>36</v>
      </c>
      <c r="J9" s="8" t="s">
        <v>113</v>
      </c>
      <c r="K9" s="8" t="s">
        <v>114</v>
      </c>
      <c r="L9" s="8" t="s">
        <v>115</v>
      </c>
      <c r="M9" s="8" t="s">
        <v>36</v>
      </c>
      <c r="N9" s="8" t="s">
        <v>108</v>
      </c>
      <c r="O9" s="10" t="s">
        <v>96</v>
      </c>
      <c r="P9" s="8" t="s">
        <v>43</v>
      </c>
      <c r="Q9" s="8" t="s">
        <v>116</v>
      </c>
    </row>
    <row r="10" customFormat="false" ht="15" hidden="false" customHeight="false" outlineLevel="0" collapsed="false">
      <c r="A10" s="8" t="s">
        <v>29</v>
      </c>
      <c r="B10" s="8" t="s">
        <v>98</v>
      </c>
      <c r="C10" s="8" t="s">
        <v>117</v>
      </c>
      <c r="D10" s="8" t="s">
        <v>32</v>
      </c>
      <c r="E10" s="8" t="s">
        <v>118</v>
      </c>
      <c r="F10" s="8" t="s">
        <v>119</v>
      </c>
      <c r="G10" s="8" t="s">
        <v>47</v>
      </c>
      <c r="H10" s="8" t="s">
        <v>36</v>
      </c>
      <c r="I10" s="8" t="s">
        <v>36</v>
      </c>
      <c r="J10" s="8" t="s">
        <v>113</v>
      </c>
      <c r="K10" s="8" t="s">
        <v>120</v>
      </c>
      <c r="L10" s="8" t="s">
        <v>121</v>
      </c>
      <c r="M10" s="8" t="s">
        <v>36</v>
      </c>
      <c r="N10" s="8" t="s">
        <v>108</v>
      </c>
      <c r="O10" s="9" t="s">
        <v>42</v>
      </c>
      <c r="P10" s="8" t="s">
        <v>43</v>
      </c>
      <c r="Q10" s="8" t="s">
        <v>122</v>
      </c>
    </row>
    <row r="11" customFormat="false" ht="15" hidden="false" customHeight="false" outlineLevel="0" collapsed="false">
      <c r="A11" s="8" t="s">
        <v>29</v>
      </c>
      <c r="B11" s="8" t="s">
        <v>98</v>
      </c>
      <c r="C11" s="8" t="s">
        <v>123</v>
      </c>
      <c r="D11" s="8" t="s">
        <v>32</v>
      </c>
      <c r="E11" s="8" t="s">
        <v>124</v>
      </c>
      <c r="F11" s="8" t="s">
        <v>125</v>
      </c>
      <c r="G11" s="8" t="s">
        <v>126</v>
      </c>
      <c r="H11" s="8" t="s">
        <v>68</v>
      </c>
      <c r="I11" s="8" t="s">
        <v>103</v>
      </c>
      <c r="J11" s="8" t="s">
        <v>127</v>
      </c>
      <c r="K11" s="8" t="s">
        <v>128</v>
      </c>
      <c r="L11" s="8" t="s">
        <v>129</v>
      </c>
      <c r="M11" s="8" t="s">
        <v>130</v>
      </c>
      <c r="N11" s="8" t="s">
        <v>108</v>
      </c>
      <c r="O11" s="9" t="s">
        <v>42</v>
      </c>
      <c r="P11" s="8" t="s">
        <v>43</v>
      </c>
      <c r="Q11" s="8" t="s">
        <v>131</v>
      </c>
    </row>
    <row r="12" customFormat="false" ht="15" hidden="false" customHeight="false" outlineLevel="0" collapsed="false">
      <c r="A12" s="8" t="s">
        <v>29</v>
      </c>
      <c r="B12" s="8" t="s">
        <v>132</v>
      </c>
      <c r="C12" s="8" t="s">
        <v>133</v>
      </c>
      <c r="D12" s="8" t="s">
        <v>32</v>
      </c>
      <c r="E12" s="8" t="s">
        <v>134</v>
      </c>
      <c r="F12" s="8" t="s">
        <v>135</v>
      </c>
      <c r="G12" s="8" t="s">
        <v>47</v>
      </c>
      <c r="H12" s="8" t="s">
        <v>36</v>
      </c>
      <c r="I12" s="8" t="s">
        <v>36</v>
      </c>
      <c r="J12" s="8" t="s">
        <v>136</v>
      </c>
      <c r="K12" s="8" t="s">
        <v>137</v>
      </c>
      <c r="L12" s="8" t="s">
        <v>138</v>
      </c>
      <c r="M12" s="8" t="s">
        <v>139</v>
      </c>
      <c r="N12" s="8" t="s">
        <v>140</v>
      </c>
      <c r="O12" s="9" t="s">
        <v>42</v>
      </c>
      <c r="P12" s="8" t="s">
        <v>43</v>
      </c>
      <c r="Q12" s="8" t="s">
        <v>141</v>
      </c>
    </row>
    <row r="13" customFormat="false" ht="15" hidden="false" customHeight="false" outlineLevel="0" collapsed="false">
      <c r="A13" s="8" t="s">
        <v>29</v>
      </c>
      <c r="B13" s="8" t="s">
        <v>132</v>
      </c>
      <c r="C13" s="8" t="s">
        <v>142</v>
      </c>
      <c r="D13" s="8" t="s">
        <v>32</v>
      </c>
      <c r="E13" s="8" t="s">
        <v>143</v>
      </c>
      <c r="F13" s="8" t="s">
        <v>144</v>
      </c>
      <c r="G13" s="8" t="s">
        <v>47</v>
      </c>
      <c r="H13" s="8" t="s">
        <v>36</v>
      </c>
      <c r="I13" s="8" t="s">
        <v>36</v>
      </c>
      <c r="J13" s="8" t="s">
        <v>145</v>
      </c>
      <c r="K13" s="8" t="s">
        <v>146</v>
      </c>
      <c r="L13" s="8" t="s">
        <v>147</v>
      </c>
      <c r="M13" s="8" t="s">
        <v>148</v>
      </c>
      <c r="N13" s="8" t="s">
        <v>149</v>
      </c>
      <c r="O13" s="9" t="s">
        <v>42</v>
      </c>
      <c r="P13" s="8" t="s">
        <v>43</v>
      </c>
      <c r="Q13" s="8" t="s">
        <v>150</v>
      </c>
    </row>
    <row r="14" customFormat="false" ht="15" hidden="false" customHeight="false" outlineLevel="0" collapsed="false">
      <c r="A14" s="8" t="s">
        <v>29</v>
      </c>
      <c r="B14" s="8" t="s">
        <v>132</v>
      </c>
      <c r="C14" s="8" t="s">
        <v>151</v>
      </c>
      <c r="D14" s="8" t="s">
        <v>32</v>
      </c>
      <c r="E14" s="8" t="s">
        <v>152</v>
      </c>
      <c r="F14" s="8" t="s">
        <v>153</v>
      </c>
      <c r="G14" s="8" t="s">
        <v>47</v>
      </c>
      <c r="H14" s="8" t="s">
        <v>36</v>
      </c>
      <c r="I14" s="8" t="s">
        <v>36</v>
      </c>
      <c r="J14" s="8" t="s">
        <v>154</v>
      </c>
      <c r="K14" s="8" t="s">
        <v>155</v>
      </c>
      <c r="L14" s="8" t="s">
        <v>156</v>
      </c>
      <c r="M14" s="8" t="s">
        <v>157</v>
      </c>
      <c r="N14" s="8" t="s">
        <v>158</v>
      </c>
      <c r="O14" s="9" t="s">
        <v>42</v>
      </c>
      <c r="P14" s="8" t="s">
        <v>43</v>
      </c>
      <c r="Q14" s="8" t="s">
        <v>159</v>
      </c>
    </row>
    <row r="15" customFormat="false" ht="15" hidden="false" customHeight="false" outlineLevel="0" collapsed="false">
      <c r="A15" s="8" t="s">
        <v>29</v>
      </c>
      <c r="B15" s="8" t="s">
        <v>132</v>
      </c>
      <c r="C15" s="8" t="s">
        <v>160</v>
      </c>
      <c r="D15" s="8" t="s">
        <v>32</v>
      </c>
      <c r="E15" s="8" t="s">
        <v>161</v>
      </c>
      <c r="F15" s="8" t="s">
        <v>162</v>
      </c>
      <c r="G15" s="8" t="s">
        <v>47</v>
      </c>
      <c r="H15" s="8" t="s">
        <v>36</v>
      </c>
      <c r="I15" s="8" t="s">
        <v>36</v>
      </c>
      <c r="J15" s="8" t="s">
        <v>163</v>
      </c>
      <c r="K15" s="8" t="s">
        <v>164</v>
      </c>
      <c r="L15" s="8" t="s">
        <v>36</v>
      </c>
      <c r="M15" s="8" t="s">
        <v>36</v>
      </c>
      <c r="N15" s="8" t="s">
        <v>165</v>
      </c>
      <c r="O15" s="9" t="s">
        <v>42</v>
      </c>
      <c r="P15" s="8" t="s">
        <v>43</v>
      </c>
      <c r="Q15" s="8" t="s">
        <v>166</v>
      </c>
    </row>
    <row r="16" customFormat="false" ht="15" hidden="false" customHeight="false" outlineLevel="0" collapsed="false">
      <c r="A16" s="8" t="s">
        <v>29</v>
      </c>
      <c r="B16" s="8" t="s">
        <v>167</v>
      </c>
      <c r="C16" s="8" t="s">
        <v>168</v>
      </c>
      <c r="D16" s="8" t="s">
        <v>32</v>
      </c>
      <c r="E16" s="8" t="s">
        <v>169</v>
      </c>
      <c r="F16" s="8" t="s">
        <v>170</v>
      </c>
      <c r="G16" s="8" t="s">
        <v>47</v>
      </c>
      <c r="H16" s="8" t="s">
        <v>36</v>
      </c>
      <c r="I16" s="8" t="s">
        <v>36</v>
      </c>
      <c r="J16" s="8" t="s">
        <v>171</v>
      </c>
      <c r="K16" s="8" t="s">
        <v>172</v>
      </c>
      <c r="L16" s="8" t="s">
        <v>173</v>
      </c>
      <c r="M16" s="8" t="s">
        <v>174</v>
      </c>
      <c r="N16" s="8" t="s">
        <v>175</v>
      </c>
      <c r="O16" s="9" t="s">
        <v>42</v>
      </c>
      <c r="P16" s="8" t="s">
        <v>43</v>
      </c>
      <c r="Q16" s="8" t="s">
        <v>176</v>
      </c>
    </row>
    <row r="17" customFormat="false" ht="15" hidden="false" customHeight="false" outlineLevel="0" collapsed="false">
      <c r="A17" s="8" t="s">
        <v>29</v>
      </c>
      <c r="B17" s="8" t="s">
        <v>167</v>
      </c>
      <c r="C17" s="8" t="s">
        <v>177</v>
      </c>
      <c r="D17" s="8" t="s">
        <v>32</v>
      </c>
      <c r="E17" s="8" t="s">
        <v>178</v>
      </c>
      <c r="F17" s="8" t="s">
        <v>179</v>
      </c>
      <c r="G17" s="8" t="s">
        <v>180</v>
      </c>
      <c r="H17" s="8" t="s">
        <v>181</v>
      </c>
      <c r="I17" s="8" t="s">
        <v>182</v>
      </c>
      <c r="J17" s="8" t="s">
        <v>183</v>
      </c>
      <c r="K17" s="8" t="s">
        <v>184</v>
      </c>
      <c r="L17" s="8" t="s">
        <v>43</v>
      </c>
      <c r="M17" s="8" t="s">
        <v>36</v>
      </c>
      <c r="N17" s="8" t="s">
        <v>175</v>
      </c>
      <c r="O17" s="10" t="s">
        <v>96</v>
      </c>
      <c r="P17" s="8" t="s">
        <v>43</v>
      </c>
      <c r="Q17" s="8" t="s">
        <v>185</v>
      </c>
    </row>
    <row r="18" customFormat="false" ht="15" hidden="false" customHeight="false" outlineLevel="0" collapsed="false">
      <c r="A18" s="8" t="s">
        <v>29</v>
      </c>
      <c r="B18" s="8" t="s">
        <v>167</v>
      </c>
      <c r="C18" s="8" t="s">
        <v>186</v>
      </c>
      <c r="D18" s="8" t="s">
        <v>32</v>
      </c>
      <c r="E18" s="8" t="s">
        <v>187</v>
      </c>
      <c r="F18" s="8" t="s">
        <v>188</v>
      </c>
      <c r="G18" s="8" t="s">
        <v>47</v>
      </c>
      <c r="H18" s="8" t="s">
        <v>36</v>
      </c>
      <c r="I18" s="8" t="s">
        <v>36</v>
      </c>
      <c r="J18" s="8" t="s">
        <v>183</v>
      </c>
      <c r="K18" s="8" t="s">
        <v>189</v>
      </c>
      <c r="L18" s="8" t="s">
        <v>190</v>
      </c>
      <c r="M18" s="8" t="s">
        <v>36</v>
      </c>
      <c r="N18" s="8" t="s">
        <v>175</v>
      </c>
      <c r="O18" s="10" t="s">
        <v>96</v>
      </c>
      <c r="P18" s="8" t="s">
        <v>43</v>
      </c>
      <c r="Q18" s="8" t="s">
        <v>191</v>
      </c>
    </row>
    <row r="19" customFormat="false" ht="15" hidden="false" customHeight="false" outlineLevel="0" collapsed="false">
      <c r="A19" s="8" t="s">
        <v>29</v>
      </c>
      <c r="B19" s="8" t="s">
        <v>192</v>
      </c>
      <c r="C19" s="8" t="s">
        <v>193</v>
      </c>
      <c r="D19" s="8" t="s">
        <v>32</v>
      </c>
      <c r="E19" s="8" t="s">
        <v>194</v>
      </c>
      <c r="F19" s="8" t="s">
        <v>195</v>
      </c>
      <c r="G19" s="8" t="s">
        <v>196</v>
      </c>
      <c r="H19" s="8" t="s">
        <v>197</v>
      </c>
      <c r="I19" s="8" t="s">
        <v>198</v>
      </c>
      <c r="J19" s="8" t="s">
        <v>199</v>
      </c>
      <c r="K19" s="8" t="s">
        <v>200</v>
      </c>
      <c r="L19" s="8" t="s">
        <v>201</v>
      </c>
      <c r="M19" s="8" t="s">
        <v>202</v>
      </c>
      <c r="N19" s="8" t="s">
        <v>203</v>
      </c>
      <c r="O19" s="9" t="s">
        <v>42</v>
      </c>
      <c r="P19" s="8" t="s">
        <v>43</v>
      </c>
      <c r="Q19" s="8" t="s">
        <v>204</v>
      </c>
    </row>
    <row r="20" customFormat="false" ht="15" hidden="false" customHeight="false" outlineLevel="0" collapsed="false">
      <c r="A20" s="8" t="s">
        <v>29</v>
      </c>
      <c r="B20" s="8" t="s">
        <v>205</v>
      </c>
      <c r="C20" s="8" t="s">
        <v>206</v>
      </c>
      <c r="D20" s="8" t="s">
        <v>207</v>
      </c>
      <c r="E20" s="8" t="s">
        <v>208</v>
      </c>
      <c r="F20" s="8" t="s">
        <v>209</v>
      </c>
      <c r="G20" s="8" t="s">
        <v>210</v>
      </c>
      <c r="H20" s="8" t="s">
        <v>36</v>
      </c>
      <c r="I20" s="8" t="s">
        <v>36</v>
      </c>
      <c r="J20" s="8" t="s">
        <v>211</v>
      </c>
      <c r="K20" s="8" t="s">
        <v>212</v>
      </c>
      <c r="L20" s="8" t="s">
        <v>213</v>
      </c>
      <c r="M20" s="8" t="s">
        <v>214</v>
      </c>
      <c r="N20" s="8" t="s">
        <v>215</v>
      </c>
      <c r="O20" s="10" t="s">
        <v>96</v>
      </c>
      <c r="P20" s="8" t="s">
        <v>43</v>
      </c>
      <c r="Q20" s="8" t="s">
        <v>216</v>
      </c>
    </row>
    <row r="21" customFormat="false" ht="15" hidden="false" customHeight="false" outlineLevel="0" collapsed="false">
      <c r="A21" s="8" t="s">
        <v>29</v>
      </c>
      <c r="B21" s="8" t="s">
        <v>217</v>
      </c>
      <c r="C21" s="8" t="s">
        <v>218</v>
      </c>
      <c r="D21" s="8" t="s">
        <v>32</v>
      </c>
      <c r="E21" s="8" t="s">
        <v>219</v>
      </c>
      <c r="F21" s="8" t="s">
        <v>220</v>
      </c>
      <c r="G21" s="8" t="s">
        <v>221</v>
      </c>
      <c r="H21" s="8" t="s">
        <v>222</v>
      </c>
      <c r="I21" s="8" t="s">
        <v>181</v>
      </c>
      <c r="J21" s="8" t="s">
        <v>223</v>
      </c>
      <c r="K21" s="8" t="s">
        <v>224</v>
      </c>
      <c r="L21" s="8" t="s">
        <v>225</v>
      </c>
      <c r="M21" s="8" t="s">
        <v>226</v>
      </c>
      <c r="N21" s="8" t="s">
        <v>227</v>
      </c>
      <c r="O21" s="10" t="s">
        <v>96</v>
      </c>
      <c r="P21" s="8" t="s">
        <v>43</v>
      </c>
      <c r="Q21" s="8" t="s">
        <v>228</v>
      </c>
    </row>
    <row r="22" customFormat="false" ht="15" hidden="false" customHeight="false" outlineLevel="0" collapsed="false">
      <c r="A22" s="8" t="s">
        <v>29</v>
      </c>
      <c r="B22" s="8" t="s">
        <v>229</v>
      </c>
      <c r="C22" s="8" t="s">
        <v>230</v>
      </c>
      <c r="D22" s="8" t="s">
        <v>32</v>
      </c>
      <c r="E22" s="8" t="s">
        <v>231</v>
      </c>
      <c r="F22" s="8" t="s">
        <v>232</v>
      </c>
      <c r="G22" s="8" t="s">
        <v>233</v>
      </c>
      <c r="H22" s="8" t="s">
        <v>234</v>
      </c>
      <c r="I22" s="8" t="s">
        <v>197</v>
      </c>
      <c r="J22" s="8" t="s">
        <v>235</v>
      </c>
      <c r="K22" s="8" t="s">
        <v>236</v>
      </c>
      <c r="L22" s="8" t="s">
        <v>237</v>
      </c>
      <c r="M22" s="8" t="s">
        <v>238</v>
      </c>
      <c r="N22" s="8" t="s">
        <v>239</v>
      </c>
      <c r="O22" s="9" t="s">
        <v>42</v>
      </c>
      <c r="P22" s="8" t="s">
        <v>43</v>
      </c>
      <c r="Q22" s="8" t="s">
        <v>240</v>
      </c>
    </row>
    <row r="23" customFormat="false" ht="15" hidden="false" customHeight="false" outlineLevel="0" collapsed="false">
      <c r="A23" s="8" t="s">
        <v>29</v>
      </c>
      <c r="B23" s="8" t="s">
        <v>241</v>
      </c>
      <c r="C23" s="8" t="s">
        <v>242</v>
      </c>
      <c r="D23" s="8" t="s">
        <v>32</v>
      </c>
      <c r="E23" s="8" t="s">
        <v>243</v>
      </c>
      <c r="F23" s="8" t="s">
        <v>244</v>
      </c>
      <c r="G23" s="8" t="s">
        <v>245</v>
      </c>
      <c r="H23" s="8" t="s">
        <v>36</v>
      </c>
      <c r="I23" s="8" t="s">
        <v>246</v>
      </c>
      <c r="J23" s="8" t="s">
        <v>247</v>
      </c>
      <c r="K23" s="8" t="s">
        <v>248</v>
      </c>
      <c r="L23" s="8" t="s">
        <v>138</v>
      </c>
      <c r="M23" s="8" t="s">
        <v>249</v>
      </c>
      <c r="N23" s="8" t="s">
        <v>250</v>
      </c>
      <c r="O23" s="9" t="s">
        <v>42</v>
      </c>
      <c r="P23" s="8" t="s">
        <v>43</v>
      </c>
      <c r="Q23" s="8" t="s">
        <v>251</v>
      </c>
    </row>
    <row r="24" customFormat="false" ht="15" hidden="false" customHeight="false" outlineLevel="0" collapsed="false">
      <c r="A24" s="8" t="s">
        <v>29</v>
      </c>
      <c r="B24" s="8" t="s">
        <v>252</v>
      </c>
      <c r="C24" s="8" t="s">
        <v>253</v>
      </c>
      <c r="D24" s="8" t="s">
        <v>32</v>
      </c>
      <c r="E24" s="8" t="s">
        <v>254</v>
      </c>
      <c r="F24" s="8" t="s">
        <v>255</v>
      </c>
      <c r="G24" s="8" t="s">
        <v>256</v>
      </c>
      <c r="H24" s="8" t="s">
        <v>36</v>
      </c>
      <c r="I24" s="8" t="s">
        <v>36</v>
      </c>
      <c r="J24" s="8" t="s">
        <v>257</v>
      </c>
      <c r="K24" s="8" t="s">
        <v>258</v>
      </c>
      <c r="L24" s="8" t="s">
        <v>259</v>
      </c>
      <c r="M24" s="8" t="s">
        <v>260</v>
      </c>
      <c r="N24" s="8" t="s">
        <v>261</v>
      </c>
      <c r="O24" s="9" t="s">
        <v>42</v>
      </c>
      <c r="P24" s="8" t="s">
        <v>43</v>
      </c>
      <c r="Q24" s="8" t="s">
        <v>262</v>
      </c>
    </row>
    <row r="25" customFormat="false" ht="15" hidden="false" customHeight="false" outlineLevel="0" collapsed="false">
      <c r="A25" s="8" t="s">
        <v>29</v>
      </c>
      <c r="B25" s="8" t="s">
        <v>263</v>
      </c>
      <c r="C25" s="8" t="s">
        <v>264</v>
      </c>
      <c r="D25" s="8" t="s">
        <v>32</v>
      </c>
      <c r="E25" s="8" t="s">
        <v>265</v>
      </c>
      <c r="F25" s="8" t="s">
        <v>266</v>
      </c>
      <c r="G25" s="8" t="s">
        <v>267</v>
      </c>
      <c r="H25" s="8" t="s">
        <v>68</v>
      </c>
      <c r="I25" s="8" t="s">
        <v>36</v>
      </c>
      <c r="J25" s="8" t="s">
        <v>268</v>
      </c>
      <c r="K25" s="8" t="s">
        <v>269</v>
      </c>
      <c r="L25" s="8" t="s">
        <v>270</v>
      </c>
      <c r="M25" s="8" t="s">
        <v>36</v>
      </c>
      <c r="N25" s="8" t="s">
        <v>271</v>
      </c>
      <c r="O25" s="10" t="s">
        <v>96</v>
      </c>
      <c r="P25" s="8" t="s">
        <v>43</v>
      </c>
      <c r="Q25" s="8" t="s">
        <v>272</v>
      </c>
    </row>
    <row r="26" customFormat="false" ht="15" hidden="false" customHeight="false" outlineLevel="0" collapsed="false">
      <c r="A26" s="8" t="s">
        <v>29</v>
      </c>
      <c r="B26" s="8" t="s">
        <v>273</v>
      </c>
      <c r="C26" s="8" t="s">
        <v>274</v>
      </c>
      <c r="D26" s="8" t="s">
        <v>32</v>
      </c>
      <c r="E26" s="8" t="s">
        <v>275</v>
      </c>
      <c r="F26" s="8" t="s">
        <v>276</v>
      </c>
      <c r="G26" s="8" t="s">
        <v>47</v>
      </c>
      <c r="H26" s="8" t="s">
        <v>36</v>
      </c>
      <c r="I26" s="8" t="s">
        <v>36</v>
      </c>
      <c r="J26" s="8" t="s">
        <v>277</v>
      </c>
      <c r="K26" s="8" t="s">
        <v>278</v>
      </c>
      <c r="L26" s="8" t="s">
        <v>279</v>
      </c>
      <c r="M26" s="8" t="s">
        <v>36</v>
      </c>
      <c r="N26" s="8" t="s">
        <v>280</v>
      </c>
      <c r="O26" s="10" t="s">
        <v>96</v>
      </c>
      <c r="P26" s="8" t="s">
        <v>43</v>
      </c>
      <c r="Q26" s="8" t="s">
        <v>281</v>
      </c>
    </row>
    <row r="27" customFormat="false" ht="15" hidden="false" customHeight="false" outlineLevel="0" collapsed="false">
      <c r="A27" s="8" t="s">
        <v>12</v>
      </c>
      <c r="B27" s="8" t="s">
        <v>282</v>
      </c>
      <c r="C27" s="8" t="s">
        <v>283</v>
      </c>
      <c r="D27" s="8" t="s">
        <v>32</v>
      </c>
      <c r="E27" s="8" t="s">
        <v>284</v>
      </c>
      <c r="F27" s="8" t="s">
        <v>285</v>
      </c>
      <c r="G27" s="8" t="s">
        <v>286</v>
      </c>
      <c r="H27" s="8" t="s">
        <v>68</v>
      </c>
      <c r="I27" s="8" t="s">
        <v>287</v>
      </c>
      <c r="J27" s="8" t="s">
        <v>288</v>
      </c>
      <c r="K27" s="8" t="s">
        <v>289</v>
      </c>
      <c r="L27" s="8" t="s">
        <v>290</v>
      </c>
      <c r="M27" s="8" t="s">
        <v>291</v>
      </c>
      <c r="N27" s="8" t="s">
        <v>292</v>
      </c>
      <c r="O27" s="10" t="s">
        <v>96</v>
      </c>
      <c r="P27" s="8" t="s">
        <v>43</v>
      </c>
      <c r="Q27" s="8" t="s">
        <v>293</v>
      </c>
    </row>
    <row r="28" customFormat="false" ht="15" hidden="false" customHeight="false" outlineLevel="0" collapsed="false">
      <c r="A28" s="8" t="s">
        <v>12</v>
      </c>
      <c r="B28" s="8" t="s">
        <v>282</v>
      </c>
      <c r="C28" s="8" t="s">
        <v>294</v>
      </c>
      <c r="D28" s="8" t="s">
        <v>32</v>
      </c>
      <c r="E28" s="8" t="s">
        <v>295</v>
      </c>
      <c r="F28" s="8" t="s">
        <v>296</v>
      </c>
      <c r="G28" s="8" t="s">
        <v>297</v>
      </c>
      <c r="H28" s="8" t="s">
        <v>36</v>
      </c>
      <c r="I28" s="8" t="s">
        <v>36</v>
      </c>
      <c r="J28" s="8" t="s">
        <v>297</v>
      </c>
      <c r="K28" s="8" t="s">
        <v>298</v>
      </c>
      <c r="L28" s="8" t="s">
        <v>299</v>
      </c>
      <c r="M28" s="8" t="s">
        <v>300</v>
      </c>
      <c r="N28" s="8" t="s">
        <v>292</v>
      </c>
      <c r="O28" s="11" t="s">
        <v>301</v>
      </c>
      <c r="P28" s="8" t="s">
        <v>43</v>
      </c>
      <c r="Q28" s="8" t="s">
        <v>302</v>
      </c>
    </row>
    <row r="29" customFormat="false" ht="15" hidden="false" customHeight="false" outlineLevel="0" collapsed="false">
      <c r="A29" s="8" t="s">
        <v>12</v>
      </c>
      <c r="B29" s="8" t="s">
        <v>282</v>
      </c>
      <c r="C29" s="8" t="s">
        <v>303</v>
      </c>
      <c r="D29" s="8" t="s">
        <v>32</v>
      </c>
      <c r="E29" s="8" t="s">
        <v>304</v>
      </c>
      <c r="F29" s="8" t="s">
        <v>305</v>
      </c>
      <c r="G29" s="8" t="s">
        <v>297</v>
      </c>
      <c r="H29" s="8" t="s">
        <v>36</v>
      </c>
      <c r="I29" s="8" t="s">
        <v>36</v>
      </c>
      <c r="J29" s="8" t="s">
        <v>297</v>
      </c>
      <c r="K29" s="8" t="s">
        <v>306</v>
      </c>
      <c r="L29" s="8" t="s">
        <v>307</v>
      </c>
      <c r="M29" s="8" t="s">
        <v>308</v>
      </c>
      <c r="N29" s="8" t="s">
        <v>292</v>
      </c>
      <c r="O29" s="10" t="s">
        <v>96</v>
      </c>
      <c r="P29" s="8" t="s">
        <v>43</v>
      </c>
      <c r="Q29" s="8" t="s">
        <v>309</v>
      </c>
    </row>
    <row r="30" customFormat="false" ht="15" hidden="false" customHeight="false" outlineLevel="0" collapsed="false">
      <c r="A30" s="8" t="s">
        <v>12</v>
      </c>
      <c r="B30" s="8" t="s">
        <v>282</v>
      </c>
      <c r="C30" s="8" t="s">
        <v>310</v>
      </c>
      <c r="D30" s="8" t="s">
        <v>32</v>
      </c>
      <c r="E30" s="8" t="s">
        <v>311</v>
      </c>
      <c r="F30" s="8" t="s">
        <v>312</v>
      </c>
      <c r="G30" s="8" t="s">
        <v>297</v>
      </c>
      <c r="H30" s="8" t="s">
        <v>36</v>
      </c>
      <c r="I30" s="8" t="s">
        <v>36</v>
      </c>
      <c r="J30" s="8" t="s">
        <v>297</v>
      </c>
      <c r="K30" s="8" t="s">
        <v>313</v>
      </c>
      <c r="L30" s="8" t="s">
        <v>297</v>
      </c>
      <c r="M30" s="8" t="s">
        <v>314</v>
      </c>
      <c r="N30" s="8" t="s">
        <v>292</v>
      </c>
      <c r="O30" s="11" t="s">
        <v>301</v>
      </c>
      <c r="P30" s="8" t="s">
        <v>43</v>
      </c>
      <c r="Q30" s="8" t="s">
        <v>315</v>
      </c>
    </row>
    <row r="31" customFormat="false" ht="15" hidden="false" customHeight="false" outlineLevel="0" collapsed="false">
      <c r="A31" s="8" t="s">
        <v>12</v>
      </c>
      <c r="B31" s="8" t="s">
        <v>282</v>
      </c>
      <c r="C31" s="8" t="s">
        <v>316</v>
      </c>
      <c r="D31" s="8" t="s">
        <v>32</v>
      </c>
      <c r="E31" s="8" t="s">
        <v>317</v>
      </c>
      <c r="F31" s="8" t="s">
        <v>318</v>
      </c>
      <c r="G31" s="8" t="s">
        <v>297</v>
      </c>
      <c r="H31" s="8" t="s">
        <v>36</v>
      </c>
      <c r="I31" s="8" t="s">
        <v>36</v>
      </c>
      <c r="J31" s="8" t="s">
        <v>297</v>
      </c>
      <c r="K31" s="8" t="s">
        <v>319</v>
      </c>
      <c r="L31" s="8" t="s">
        <v>320</v>
      </c>
      <c r="M31" s="8" t="s">
        <v>321</v>
      </c>
      <c r="N31" s="8" t="s">
        <v>292</v>
      </c>
      <c r="O31" s="10" t="s">
        <v>96</v>
      </c>
      <c r="P31" s="8" t="s">
        <v>43</v>
      </c>
      <c r="Q31" s="8" t="s">
        <v>322</v>
      </c>
    </row>
    <row r="32" customFormat="false" ht="15" hidden="false" customHeight="false" outlineLevel="0" collapsed="false">
      <c r="A32" s="8" t="s">
        <v>12</v>
      </c>
      <c r="B32" s="8" t="s">
        <v>282</v>
      </c>
      <c r="C32" s="8" t="s">
        <v>323</v>
      </c>
      <c r="D32" s="8" t="s">
        <v>32</v>
      </c>
      <c r="E32" s="8" t="s">
        <v>324</v>
      </c>
      <c r="F32" s="8" t="s">
        <v>325</v>
      </c>
      <c r="G32" s="8" t="s">
        <v>297</v>
      </c>
      <c r="H32" s="8" t="s">
        <v>36</v>
      </c>
      <c r="I32" s="8" t="s">
        <v>36</v>
      </c>
      <c r="J32" s="8" t="s">
        <v>297</v>
      </c>
      <c r="K32" s="8" t="s">
        <v>319</v>
      </c>
      <c r="L32" s="8" t="s">
        <v>320</v>
      </c>
      <c r="M32" s="8" t="s">
        <v>314</v>
      </c>
      <c r="N32" s="8" t="s">
        <v>292</v>
      </c>
      <c r="O32" s="10" t="s">
        <v>96</v>
      </c>
      <c r="P32" s="8" t="s">
        <v>43</v>
      </c>
      <c r="Q32" s="8" t="s">
        <v>326</v>
      </c>
    </row>
    <row r="33" customFormat="false" ht="15" hidden="false" customHeight="false" outlineLevel="0" collapsed="false">
      <c r="A33" s="8" t="s">
        <v>12</v>
      </c>
      <c r="B33" s="8" t="s">
        <v>282</v>
      </c>
      <c r="C33" s="8" t="s">
        <v>327</v>
      </c>
      <c r="D33" s="8" t="s">
        <v>32</v>
      </c>
      <c r="E33" s="8" t="s">
        <v>328</v>
      </c>
      <c r="F33" s="8" t="s">
        <v>325</v>
      </c>
      <c r="G33" s="8" t="s">
        <v>297</v>
      </c>
      <c r="H33" s="8" t="s">
        <v>36</v>
      </c>
      <c r="I33" s="8" t="s">
        <v>36</v>
      </c>
      <c r="J33" s="8" t="s">
        <v>297</v>
      </c>
      <c r="K33" s="8" t="s">
        <v>319</v>
      </c>
      <c r="L33" s="8" t="s">
        <v>320</v>
      </c>
      <c r="M33" s="8" t="s">
        <v>314</v>
      </c>
      <c r="N33" s="8" t="s">
        <v>292</v>
      </c>
      <c r="O33" s="10" t="s">
        <v>96</v>
      </c>
      <c r="P33" s="8" t="s">
        <v>43</v>
      </c>
      <c r="Q33" s="8" t="s">
        <v>329</v>
      </c>
    </row>
    <row r="34" customFormat="false" ht="15" hidden="false" customHeight="false" outlineLevel="0" collapsed="false">
      <c r="A34" s="8" t="s">
        <v>12</v>
      </c>
      <c r="B34" s="8" t="s">
        <v>330</v>
      </c>
      <c r="C34" s="8" t="s">
        <v>331</v>
      </c>
      <c r="D34" s="8" t="s">
        <v>32</v>
      </c>
      <c r="E34" s="8" t="s">
        <v>332</v>
      </c>
      <c r="F34" s="8" t="s">
        <v>333</v>
      </c>
      <c r="G34" s="8" t="s">
        <v>334</v>
      </c>
      <c r="H34" s="8" t="s">
        <v>68</v>
      </c>
      <c r="I34" s="8" t="s">
        <v>335</v>
      </c>
      <c r="J34" s="8" t="s">
        <v>336</v>
      </c>
      <c r="K34" s="8" t="s">
        <v>337</v>
      </c>
      <c r="L34" s="8" t="s">
        <v>314</v>
      </c>
      <c r="M34" s="8" t="s">
        <v>314</v>
      </c>
      <c r="N34" s="8" t="s">
        <v>338</v>
      </c>
      <c r="O34" s="11" t="s">
        <v>301</v>
      </c>
      <c r="P34" s="8" t="s">
        <v>43</v>
      </c>
      <c r="Q34" s="8" t="s">
        <v>339</v>
      </c>
    </row>
    <row r="35" customFormat="false" ht="15" hidden="false" customHeight="false" outlineLevel="0" collapsed="false">
      <c r="A35" s="8" t="s">
        <v>12</v>
      </c>
      <c r="B35" s="8" t="s">
        <v>330</v>
      </c>
      <c r="C35" s="8" t="s">
        <v>340</v>
      </c>
      <c r="D35" s="8" t="s">
        <v>32</v>
      </c>
      <c r="E35" s="8" t="s">
        <v>341</v>
      </c>
      <c r="F35" s="8" t="s">
        <v>342</v>
      </c>
      <c r="G35" s="8" t="s">
        <v>297</v>
      </c>
      <c r="H35" s="8" t="s">
        <v>36</v>
      </c>
      <c r="I35" s="8" t="s">
        <v>36</v>
      </c>
      <c r="J35" s="8" t="s">
        <v>297</v>
      </c>
      <c r="K35" s="8" t="s">
        <v>337</v>
      </c>
      <c r="L35" s="8" t="s">
        <v>314</v>
      </c>
      <c r="M35" s="8" t="s">
        <v>314</v>
      </c>
      <c r="N35" s="8" t="s">
        <v>338</v>
      </c>
      <c r="O35" s="11" t="s">
        <v>301</v>
      </c>
      <c r="P35" s="8" t="s">
        <v>43</v>
      </c>
      <c r="Q35" s="8" t="s">
        <v>343</v>
      </c>
    </row>
    <row r="36" customFormat="false" ht="15" hidden="false" customHeight="false" outlineLevel="0" collapsed="false">
      <c r="A36" s="8" t="s">
        <v>12</v>
      </c>
      <c r="B36" s="8" t="s">
        <v>344</v>
      </c>
      <c r="C36" s="8" t="s">
        <v>345</v>
      </c>
      <c r="D36" s="8" t="s">
        <v>32</v>
      </c>
      <c r="E36" s="8" t="s">
        <v>346</v>
      </c>
      <c r="F36" s="8" t="s">
        <v>347</v>
      </c>
      <c r="G36" s="8" t="s">
        <v>297</v>
      </c>
      <c r="H36" s="8" t="s">
        <v>36</v>
      </c>
      <c r="I36" s="8" t="s">
        <v>36</v>
      </c>
      <c r="J36" s="8" t="s">
        <v>297</v>
      </c>
      <c r="K36" s="8" t="s">
        <v>348</v>
      </c>
      <c r="L36" s="8" t="s">
        <v>314</v>
      </c>
      <c r="M36" s="8" t="s">
        <v>349</v>
      </c>
      <c r="N36" s="8" t="s">
        <v>350</v>
      </c>
      <c r="O36" s="11" t="s">
        <v>301</v>
      </c>
      <c r="P36" s="8" t="s">
        <v>43</v>
      </c>
      <c r="Q36" s="8" t="s">
        <v>351</v>
      </c>
    </row>
    <row r="37" customFormat="false" ht="15" hidden="false" customHeight="false" outlineLevel="0" collapsed="false">
      <c r="A37" s="8" t="s">
        <v>12</v>
      </c>
      <c r="B37" s="8" t="s">
        <v>352</v>
      </c>
      <c r="C37" s="8" t="s">
        <v>353</v>
      </c>
      <c r="D37" s="8" t="s">
        <v>32</v>
      </c>
      <c r="E37" s="8" t="s">
        <v>354</v>
      </c>
      <c r="F37" s="8" t="s">
        <v>355</v>
      </c>
      <c r="G37" s="8" t="s">
        <v>356</v>
      </c>
      <c r="H37" s="8" t="s">
        <v>68</v>
      </c>
      <c r="I37" s="8" t="s">
        <v>357</v>
      </c>
      <c r="J37" s="8" t="s">
        <v>358</v>
      </c>
      <c r="K37" s="8" t="s">
        <v>359</v>
      </c>
      <c r="L37" s="8" t="s">
        <v>360</v>
      </c>
      <c r="M37" s="8" t="s">
        <v>361</v>
      </c>
      <c r="N37" s="8" t="s">
        <v>362</v>
      </c>
      <c r="O37" s="9" t="s">
        <v>42</v>
      </c>
      <c r="P37" s="8" t="s">
        <v>43</v>
      </c>
      <c r="Q37" s="8" t="s">
        <v>363</v>
      </c>
    </row>
    <row r="38" customFormat="false" ht="15" hidden="false" customHeight="false" outlineLevel="0" collapsed="false">
      <c r="A38" s="8" t="s">
        <v>12</v>
      </c>
      <c r="B38" s="8" t="s">
        <v>364</v>
      </c>
      <c r="C38" s="8" t="s">
        <v>365</v>
      </c>
      <c r="D38" s="8" t="s">
        <v>32</v>
      </c>
      <c r="E38" s="8" t="s">
        <v>366</v>
      </c>
      <c r="F38" s="8" t="s">
        <v>367</v>
      </c>
      <c r="G38" s="8" t="s">
        <v>297</v>
      </c>
      <c r="H38" s="8" t="s">
        <v>36</v>
      </c>
      <c r="I38" s="8" t="s">
        <v>36</v>
      </c>
      <c r="J38" s="8" t="s">
        <v>297</v>
      </c>
      <c r="K38" s="8" t="s">
        <v>368</v>
      </c>
      <c r="L38" s="8" t="s">
        <v>369</v>
      </c>
      <c r="M38" s="8" t="s">
        <v>370</v>
      </c>
      <c r="N38" s="8" t="s">
        <v>371</v>
      </c>
      <c r="O38" s="9" t="s">
        <v>42</v>
      </c>
      <c r="P38" s="8" t="s">
        <v>43</v>
      </c>
      <c r="Q38" s="8" t="s">
        <v>372</v>
      </c>
    </row>
    <row r="39" customFormat="false" ht="15" hidden="false" customHeight="false" outlineLevel="0" collapsed="false">
      <c r="A39" s="8" t="s">
        <v>12</v>
      </c>
      <c r="B39" s="8" t="s">
        <v>373</v>
      </c>
      <c r="C39" s="8" t="s">
        <v>374</v>
      </c>
      <c r="D39" s="8" t="s">
        <v>32</v>
      </c>
      <c r="E39" s="8" t="s">
        <v>375</v>
      </c>
      <c r="F39" s="8" t="s">
        <v>376</v>
      </c>
      <c r="G39" s="8" t="s">
        <v>297</v>
      </c>
      <c r="H39" s="8" t="s">
        <v>36</v>
      </c>
      <c r="I39" s="8" t="s">
        <v>36</v>
      </c>
      <c r="J39" s="8" t="s">
        <v>297</v>
      </c>
      <c r="K39" s="8" t="s">
        <v>377</v>
      </c>
      <c r="L39" s="8" t="s">
        <v>378</v>
      </c>
      <c r="M39" s="8" t="s">
        <v>379</v>
      </c>
      <c r="N39" s="8" t="s">
        <v>380</v>
      </c>
      <c r="O39" s="10" t="s">
        <v>96</v>
      </c>
      <c r="P39" s="8" t="s">
        <v>43</v>
      </c>
      <c r="Q39" s="8" t="s">
        <v>381</v>
      </c>
    </row>
    <row r="40" customFormat="false" ht="15" hidden="false" customHeight="false" outlineLevel="0" collapsed="false">
      <c r="A40" s="8" t="s">
        <v>12</v>
      </c>
      <c r="B40" s="8" t="s">
        <v>373</v>
      </c>
      <c r="C40" s="8" t="s">
        <v>382</v>
      </c>
      <c r="D40" s="8" t="s">
        <v>32</v>
      </c>
      <c r="E40" s="8" t="s">
        <v>383</v>
      </c>
      <c r="F40" s="8" t="s">
        <v>384</v>
      </c>
      <c r="G40" s="8" t="s">
        <v>297</v>
      </c>
      <c r="H40" s="8" t="s">
        <v>36</v>
      </c>
      <c r="I40" s="8" t="s">
        <v>36</v>
      </c>
      <c r="J40" s="8" t="s">
        <v>297</v>
      </c>
      <c r="K40" s="8" t="s">
        <v>385</v>
      </c>
      <c r="L40" s="8" t="s">
        <v>378</v>
      </c>
      <c r="M40" s="8" t="s">
        <v>314</v>
      </c>
      <c r="N40" s="8" t="s">
        <v>380</v>
      </c>
      <c r="O40" s="10" t="s">
        <v>96</v>
      </c>
      <c r="P40" s="8" t="s">
        <v>43</v>
      </c>
      <c r="Q40" s="8" t="s">
        <v>386</v>
      </c>
    </row>
    <row r="41" customFormat="false" ht="15" hidden="false" customHeight="false" outlineLevel="0" collapsed="false">
      <c r="A41" s="8" t="s">
        <v>12</v>
      </c>
      <c r="B41" s="8" t="s">
        <v>387</v>
      </c>
      <c r="C41" s="8" t="s">
        <v>388</v>
      </c>
      <c r="D41" s="8" t="s">
        <v>32</v>
      </c>
      <c r="E41" s="8" t="s">
        <v>389</v>
      </c>
      <c r="F41" s="8" t="s">
        <v>390</v>
      </c>
      <c r="G41" s="8" t="s">
        <v>391</v>
      </c>
      <c r="H41" s="8" t="s">
        <v>68</v>
      </c>
      <c r="I41" s="8" t="s">
        <v>57</v>
      </c>
      <c r="J41" s="8" t="s">
        <v>392</v>
      </c>
      <c r="K41" s="8" t="s">
        <v>393</v>
      </c>
      <c r="L41" s="8" t="s">
        <v>394</v>
      </c>
      <c r="M41" s="8" t="s">
        <v>395</v>
      </c>
      <c r="N41" s="8" t="s">
        <v>396</v>
      </c>
      <c r="O41" s="9" t="s">
        <v>42</v>
      </c>
      <c r="P41" s="8" t="s">
        <v>43</v>
      </c>
      <c r="Q41" s="8" t="s">
        <v>397</v>
      </c>
    </row>
    <row r="42" customFormat="false" ht="15" hidden="false" customHeight="false" outlineLevel="0" collapsed="false">
      <c r="A42" s="8" t="s">
        <v>12</v>
      </c>
      <c r="B42" s="8" t="s">
        <v>398</v>
      </c>
      <c r="C42" s="8" t="s">
        <v>399</v>
      </c>
      <c r="D42" s="8" t="s">
        <v>207</v>
      </c>
      <c r="E42" s="8" t="s">
        <v>400</v>
      </c>
      <c r="F42" s="8" t="s">
        <v>401</v>
      </c>
      <c r="G42" s="8" t="s">
        <v>402</v>
      </c>
      <c r="H42" s="8" t="s">
        <v>36</v>
      </c>
      <c r="I42" s="8" t="s">
        <v>36</v>
      </c>
      <c r="J42" s="8" t="s">
        <v>297</v>
      </c>
      <c r="K42" s="8" t="s">
        <v>403</v>
      </c>
      <c r="L42" s="8" t="s">
        <v>404</v>
      </c>
      <c r="M42" s="8" t="s">
        <v>405</v>
      </c>
      <c r="N42" s="8" t="s">
        <v>406</v>
      </c>
      <c r="O42" s="10" t="s">
        <v>96</v>
      </c>
      <c r="P42" s="8" t="s">
        <v>43</v>
      </c>
      <c r="Q42" s="8" t="s">
        <v>407</v>
      </c>
    </row>
    <row r="43" customFormat="false" ht="15" hidden="false" customHeight="false" outlineLevel="0" collapsed="false">
      <c r="A43" s="8" t="s">
        <v>12</v>
      </c>
      <c r="B43" s="8" t="s">
        <v>408</v>
      </c>
      <c r="C43" s="8" t="s">
        <v>409</v>
      </c>
      <c r="D43" s="8" t="s">
        <v>207</v>
      </c>
      <c r="E43" s="8" t="s">
        <v>410</v>
      </c>
      <c r="F43" s="8" t="s">
        <v>411</v>
      </c>
      <c r="G43" s="8" t="s">
        <v>297</v>
      </c>
      <c r="H43" s="8" t="s">
        <v>36</v>
      </c>
      <c r="I43" s="8" t="s">
        <v>36</v>
      </c>
      <c r="J43" s="8" t="s">
        <v>297</v>
      </c>
      <c r="K43" s="8" t="s">
        <v>412</v>
      </c>
      <c r="L43" s="8" t="s">
        <v>413</v>
      </c>
      <c r="M43" s="8" t="s">
        <v>414</v>
      </c>
      <c r="N43" s="8" t="s">
        <v>415</v>
      </c>
      <c r="O43" s="9" t="s">
        <v>42</v>
      </c>
      <c r="P43" s="8" t="s">
        <v>43</v>
      </c>
      <c r="Q43" s="8" t="s">
        <v>416</v>
      </c>
    </row>
    <row r="44" customFormat="false" ht="15" hidden="false" customHeight="false" outlineLevel="0" collapsed="false">
      <c r="A44" s="8" t="s">
        <v>12</v>
      </c>
      <c r="B44" s="8" t="s">
        <v>417</v>
      </c>
      <c r="C44" s="8" t="s">
        <v>418</v>
      </c>
      <c r="D44" s="8" t="s">
        <v>207</v>
      </c>
      <c r="E44" s="8" t="s">
        <v>419</v>
      </c>
      <c r="F44" s="8" t="s">
        <v>420</v>
      </c>
      <c r="G44" s="8" t="s">
        <v>297</v>
      </c>
      <c r="H44" s="8" t="s">
        <v>36</v>
      </c>
      <c r="I44" s="8" t="s">
        <v>36</v>
      </c>
      <c r="J44" s="8" t="s">
        <v>297</v>
      </c>
      <c r="K44" s="8" t="s">
        <v>421</v>
      </c>
      <c r="L44" s="8" t="s">
        <v>422</v>
      </c>
      <c r="M44" s="8" t="s">
        <v>423</v>
      </c>
      <c r="N44" s="8" t="s">
        <v>424</v>
      </c>
      <c r="O44" s="9" t="s">
        <v>42</v>
      </c>
      <c r="P44" s="8" t="s">
        <v>43</v>
      </c>
      <c r="Q44" s="8" t="s">
        <v>425</v>
      </c>
    </row>
    <row r="45" customFormat="false" ht="15" hidden="false" customHeight="false" outlineLevel="0" collapsed="false">
      <c r="A45" s="8" t="s">
        <v>12</v>
      </c>
      <c r="B45" s="8" t="s">
        <v>426</v>
      </c>
      <c r="C45" s="8" t="s">
        <v>427</v>
      </c>
      <c r="D45" s="8" t="s">
        <v>207</v>
      </c>
      <c r="E45" s="8" t="s">
        <v>428</v>
      </c>
      <c r="F45" s="8" t="s">
        <v>429</v>
      </c>
      <c r="G45" s="8" t="s">
        <v>297</v>
      </c>
      <c r="H45" s="8" t="s">
        <v>36</v>
      </c>
      <c r="I45" s="8" t="s">
        <v>36</v>
      </c>
      <c r="J45" s="8" t="s">
        <v>297</v>
      </c>
      <c r="K45" s="8" t="s">
        <v>430</v>
      </c>
      <c r="L45" s="8" t="s">
        <v>431</v>
      </c>
      <c r="M45" s="8" t="s">
        <v>432</v>
      </c>
      <c r="N45" s="8" t="s">
        <v>433</v>
      </c>
      <c r="O45" s="9" t="s">
        <v>42</v>
      </c>
      <c r="P45" s="8" t="s">
        <v>43</v>
      </c>
      <c r="Q45" s="8" t="s">
        <v>434</v>
      </c>
    </row>
    <row r="46" customFormat="false" ht="15" hidden="false" customHeight="false" outlineLevel="0" collapsed="false">
      <c r="A46" s="8" t="s">
        <v>12</v>
      </c>
      <c r="B46" s="8" t="s">
        <v>426</v>
      </c>
      <c r="C46" s="8" t="s">
        <v>435</v>
      </c>
      <c r="D46" s="8" t="s">
        <v>207</v>
      </c>
      <c r="E46" s="8" t="s">
        <v>436</v>
      </c>
      <c r="F46" s="8" t="s">
        <v>437</v>
      </c>
      <c r="G46" s="8" t="s">
        <v>297</v>
      </c>
      <c r="H46" s="8" t="s">
        <v>36</v>
      </c>
      <c r="I46" s="8" t="s">
        <v>36</v>
      </c>
      <c r="J46" s="8" t="s">
        <v>297</v>
      </c>
      <c r="K46" s="8" t="s">
        <v>438</v>
      </c>
      <c r="L46" s="8" t="s">
        <v>439</v>
      </c>
      <c r="M46" s="8" t="s">
        <v>440</v>
      </c>
      <c r="N46" s="8" t="s">
        <v>441</v>
      </c>
      <c r="O46" s="9" t="s">
        <v>42</v>
      </c>
      <c r="P46" s="8" t="s">
        <v>43</v>
      </c>
      <c r="Q46" s="8" t="s">
        <v>442</v>
      </c>
    </row>
    <row r="47" customFormat="false" ht="15" hidden="false" customHeight="false" outlineLevel="0" collapsed="false">
      <c r="A47" s="8" t="s">
        <v>12</v>
      </c>
      <c r="B47" s="8" t="s">
        <v>443</v>
      </c>
      <c r="C47" s="8" t="s">
        <v>444</v>
      </c>
      <c r="D47" s="8" t="s">
        <v>207</v>
      </c>
      <c r="E47" s="8" t="s">
        <v>445</v>
      </c>
      <c r="F47" s="8" t="s">
        <v>446</v>
      </c>
      <c r="G47" s="8" t="s">
        <v>297</v>
      </c>
      <c r="H47" s="8" t="s">
        <v>36</v>
      </c>
      <c r="I47" s="8" t="s">
        <v>36</v>
      </c>
      <c r="J47" s="8" t="s">
        <v>297</v>
      </c>
      <c r="K47" s="8" t="s">
        <v>447</v>
      </c>
      <c r="L47" s="8" t="s">
        <v>448</v>
      </c>
      <c r="M47" s="8" t="s">
        <v>449</v>
      </c>
      <c r="N47" s="8" t="s">
        <v>450</v>
      </c>
      <c r="O47" s="9" t="s">
        <v>42</v>
      </c>
      <c r="P47" s="8" t="s">
        <v>43</v>
      </c>
      <c r="Q47" s="8" t="s">
        <v>451</v>
      </c>
    </row>
    <row r="48" customFormat="false" ht="15" hidden="false" customHeight="false" outlineLevel="0" collapsed="false">
      <c r="A48" s="8" t="s">
        <v>12</v>
      </c>
      <c r="B48" s="8" t="s">
        <v>452</v>
      </c>
      <c r="C48" s="8" t="s">
        <v>453</v>
      </c>
      <c r="D48" s="8" t="s">
        <v>207</v>
      </c>
      <c r="E48" s="8" t="s">
        <v>454</v>
      </c>
      <c r="F48" s="8" t="s">
        <v>455</v>
      </c>
      <c r="G48" s="8" t="s">
        <v>297</v>
      </c>
      <c r="H48" s="8" t="s">
        <v>36</v>
      </c>
      <c r="I48" s="8" t="s">
        <v>36</v>
      </c>
      <c r="J48" s="8" t="s">
        <v>297</v>
      </c>
      <c r="K48" s="8" t="s">
        <v>456</v>
      </c>
      <c r="L48" s="8" t="s">
        <v>457</v>
      </c>
      <c r="M48" s="8" t="s">
        <v>458</v>
      </c>
      <c r="N48" s="8" t="s">
        <v>459</v>
      </c>
      <c r="O48" s="9" t="s">
        <v>42</v>
      </c>
      <c r="P48" s="8" t="s">
        <v>43</v>
      </c>
      <c r="Q48" s="8" t="s">
        <v>460</v>
      </c>
    </row>
    <row r="49" customFormat="false" ht="15" hidden="false" customHeight="false" outlineLevel="0" collapsed="false">
      <c r="A49" s="8" t="s">
        <v>12</v>
      </c>
      <c r="B49" s="8" t="s">
        <v>461</v>
      </c>
      <c r="C49" s="8" t="s">
        <v>462</v>
      </c>
      <c r="D49" s="8" t="s">
        <v>207</v>
      </c>
      <c r="E49" s="8" t="s">
        <v>463</v>
      </c>
      <c r="F49" s="8" t="s">
        <v>464</v>
      </c>
      <c r="G49" s="8" t="s">
        <v>465</v>
      </c>
      <c r="H49" s="8" t="s">
        <v>36</v>
      </c>
      <c r="I49" s="8" t="s">
        <v>36</v>
      </c>
      <c r="J49" s="8" t="s">
        <v>297</v>
      </c>
      <c r="K49" s="8" t="s">
        <v>466</v>
      </c>
      <c r="L49" s="8" t="s">
        <v>467</v>
      </c>
      <c r="M49" s="8" t="s">
        <v>468</v>
      </c>
      <c r="N49" s="8" t="s">
        <v>469</v>
      </c>
      <c r="O49" s="9" t="s">
        <v>42</v>
      </c>
      <c r="P49" s="8" t="s">
        <v>43</v>
      </c>
      <c r="Q49" s="8" t="s">
        <v>470</v>
      </c>
    </row>
    <row r="50" customFormat="false" ht="15" hidden="false" customHeight="false" outlineLevel="0" collapsed="false">
      <c r="A50" s="8" t="s">
        <v>12</v>
      </c>
      <c r="B50" s="8" t="s">
        <v>471</v>
      </c>
      <c r="C50" s="8" t="s">
        <v>472</v>
      </c>
      <c r="D50" s="8" t="s">
        <v>207</v>
      </c>
      <c r="E50" s="8" t="s">
        <v>473</v>
      </c>
      <c r="F50" s="8" t="s">
        <v>474</v>
      </c>
      <c r="G50" s="8" t="s">
        <v>297</v>
      </c>
      <c r="H50" s="8" t="s">
        <v>36</v>
      </c>
      <c r="I50" s="8" t="s">
        <v>36</v>
      </c>
      <c r="J50" s="8" t="s">
        <v>297</v>
      </c>
      <c r="K50" s="8" t="s">
        <v>475</v>
      </c>
      <c r="L50" s="8" t="s">
        <v>476</v>
      </c>
      <c r="M50" s="8" t="s">
        <v>477</v>
      </c>
      <c r="N50" s="8" t="s">
        <v>478</v>
      </c>
      <c r="O50" s="9" t="s">
        <v>42</v>
      </c>
      <c r="P50" s="8" t="s">
        <v>43</v>
      </c>
      <c r="Q50" s="8" t="s">
        <v>479</v>
      </c>
    </row>
    <row r="51" customFormat="false" ht="15" hidden="false" customHeight="false" outlineLevel="0" collapsed="false">
      <c r="A51" s="8" t="s">
        <v>12</v>
      </c>
      <c r="B51" s="8" t="s">
        <v>344</v>
      </c>
      <c r="C51" s="8" t="s">
        <v>480</v>
      </c>
      <c r="D51" s="8" t="s">
        <v>207</v>
      </c>
      <c r="E51" s="8" t="s">
        <v>481</v>
      </c>
      <c r="F51" s="8" t="s">
        <v>482</v>
      </c>
      <c r="G51" s="8" t="s">
        <v>297</v>
      </c>
      <c r="H51" s="8" t="s">
        <v>36</v>
      </c>
      <c r="I51" s="8" t="s">
        <v>36</v>
      </c>
      <c r="J51" s="8" t="s">
        <v>297</v>
      </c>
      <c r="K51" s="8" t="s">
        <v>483</v>
      </c>
      <c r="L51" s="8" t="s">
        <v>484</v>
      </c>
      <c r="M51" s="8" t="s">
        <v>485</v>
      </c>
      <c r="N51" s="8" t="s">
        <v>486</v>
      </c>
      <c r="O51" s="9" t="s">
        <v>42</v>
      </c>
      <c r="P51" s="8" t="s">
        <v>43</v>
      </c>
      <c r="Q51" s="8" t="s">
        <v>487</v>
      </c>
    </row>
  </sheetData>
  <autoFilter ref="A1:Q5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2026-10-21T12:00:01Z</dcterms:created>
  <dc:creator>openpyxl</dc:creator>
  <dc:description/>
  <dc:language>en-US</dc:language>
  <cp:lastModifiedBy/>
  <dcterms:modified xsi:type="dcterms:W3CDTF">2026-10-21T12:00:01Z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